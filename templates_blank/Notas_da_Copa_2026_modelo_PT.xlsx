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o" sheetId="1" state="visible" r:id="rId1"/>
    <sheet name="Quesitos" sheetId="2" state="visible" r:id="rId2"/>
    <sheet name="Fase de grupos" sheetId="3" state="visible" r:id="rId3"/>
    <sheet name="16 avos" sheetId="4" state="visible" r:id="rId4"/>
    <sheet name="Oitavas de final" sheetId="5" state="visible" r:id="rId5"/>
    <sheet name="Quartas de final" sheetId="6" state="visible" r:id="rId6"/>
    <sheet name="Semifinais" sheetId="7" state="visible" r:id="rId7"/>
    <sheet name="3º lugar" sheetId="8" state="visible" r:id="rId8"/>
    <sheet name="Fin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-m"/>
  </numFmts>
  <fonts count="15">
    <font>
      <name val="Carlito"/>
      <color rgb="FF000000"/>
      <sz val="11"/>
      <scheme val="minor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color rgb="FF1F2937"/>
      <sz val="11"/>
    </font>
    <font>
      <name val="Carlito"/>
      <color theme="1"/>
      <scheme val="minor"/>
    </font>
    <font>
      <name val="Carlito"/>
      <color theme="1"/>
      <sz val="11"/>
    </font>
    <font>
      <name val="Carlito"/>
      <b val="1"/>
      <color theme="1"/>
      <sz val="11"/>
    </font>
    <font>
      <name val="Carlito"/>
      <b val="1"/>
      <color rgb="FF1F2937"/>
      <sz val="11"/>
    </font>
    <font>
      <name val="Carlito"/>
      <b val="1"/>
      <color rgb="FFFFFFFF"/>
      <sz val="13"/>
    </font>
    <font>
      <name val="Carlito"/>
      <color rgb="FF1F2937"/>
      <sz val="10"/>
    </font>
    <font>
      <name val="Carlito"/>
      <b val="1"/>
      <color rgb="FF1E3A8A"/>
      <sz val="11"/>
    </font>
    <font>
      <name val="Carlito"/>
      <b val="1"/>
      <color rgb="FF92400E"/>
      <sz val="11"/>
    </font>
    <font>
      <name val="Carlito"/>
      <b val="1"/>
      <color rgb="FF991B1B"/>
      <sz val="11"/>
    </font>
    <font>
      <name val="Carlito"/>
      <b val="1"/>
      <color rgb="FF4C1D95"/>
      <sz val="11"/>
    </font>
    <font>
      <name val="Carlito"/>
      <b val="1"/>
      <color rgb="FF166534"/>
      <sz val="11"/>
    </font>
  </fonts>
  <fills count="13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56082"/>
        <bgColor rgb="FF156082"/>
      </patternFill>
    </fill>
    <fill>
      <patternFill patternType="solid">
        <fgColor rgb="FFE5EEF5"/>
        <bgColor rgb="FFE5EEF5"/>
      </patternFill>
    </fill>
    <fill>
      <patternFill patternType="solid">
        <fgColor rgb="FFEDE9FE"/>
        <bgColor rgb="FFEDE9FE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EDF7FB"/>
        <bgColor rgb="FFEDF7FB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numFmtId="0" fontId="0" fillId="0" borderId="0"/>
  </cellStyleXfs>
  <cellXfs count="5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9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9" fontId="6" fillId="4" borderId="0" applyAlignment="1" pivotButton="0" quotePrefix="0" xfId="0">
      <alignment horizontal="center"/>
    </xf>
    <xf numFmtId="0" fontId="6" fillId="4" borderId="0" applyAlignment="1" pivotButton="0" quotePrefix="0" xfId="0">
      <alignment wrapText="1"/>
    </xf>
    <xf numFmtId="0" fontId="7" fillId="5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7" fillId="9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/>
    </xf>
    <xf numFmtId="164" fontId="9" fillId="1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2" fontId="10" fillId="8" borderId="0" applyAlignment="1" pivotButton="0" quotePrefix="0" xfId="0">
      <alignment horizontal="center" vertical="bottom" wrapText="1"/>
    </xf>
    <xf numFmtId="2" fontId="11" fillId="7" borderId="0" applyAlignment="1" pivotButton="0" quotePrefix="0" xfId="0">
      <alignment horizontal="center" vertical="bottom" wrapText="1"/>
    </xf>
    <xf numFmtId="2" fontId="12" fillId="6" borderId="0" applyAlignment="1" pivotButton="0" quotePrefix="0" xfId="0">
      <alignment horizontal="center" vertical="bottom" wrapText="1"/>
    </xf>
    <xf numFmtId="2" fontId="11" fillId="7" borderId="0" applyAlignment="1" pivotButton="0" quotePrefix="0" xfId="0">
      <alignment horizontal="center" vertical="bottom" wrapText="1"/>
    </xf>
    <xf numFmtId="2" fontId="9" fillId="10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164" fontId="9" fillId="11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2" fontId="12" fillId="6" borderId="0" applyAlignment="1" pivotButton="0" quotePrefix="0" xfId="0">
      <alignment horizontal="center" wrapText="1"/>
    </xf>
    <xf numFmtId="2" fontId="10" fillId="8" borderId="0" applyAlignment="1" pivotButton="0" quotePrefix="0" xfId="0">
      <alignment horizontal="center" wrapText="1"/>
    </xf>
    <xf numFmtId="2" fontId="11" fillId="7" borderId="0" applyAlignment="1" pivotButton="0" quotePrefix="0" xfId="0">
      <alignment horizontal="center" wrapText="1"/>
    </xf>
    <xf numFmtId="2" fontId="9" fillId="11" borderId="0" applyAlignment="1" pivotButton="0" quotePrefix="0" xfId="0">
      <alignment horizontal="center" vertical="center"/>
    </xf>
    <xf numFmtId="2" fontId="5" fillId="12" borderId="0" applyAlignment="1" pivotButton="0" quotePrefix="0" xfId="0">
      <alignment horizontal="center"/>
    </xf>
    <xf numFmtId="2" fontId="12" fillId="6" borderId="0" applyAlignment="1" pivotButton="0" quotePrefix="0" xfId="0">
      <alignment horizontal="center" wrapText="1"/>
    </xf>
    <xf numFmtId="2" fontId="13" fillId="5" borderId="0" applyAlignment="1" pivotButton="0" quotePrefix="0" xfId="0">
      <alignment horizontal="center" wrapText="1"/>
    </xf>
    <xf numFmtId="2" fontId="14" fillId="9" borderId="0" applyAlignment="1" pivotButton="0" quotePrefix="0" xfId="0">
      <alignment horizontal="center" wrapText="1"/>
    </xf>
    <xf numFmtId="2" fontId="9" fillId="10" borderId="0" applyAlignment="1" pivotButton="0" quotePrefix="0" xfId="0">
      <alignment horizontal="center" vertical="center"/>
    </xf>
    <xf numFmtId="2" fontId="9" fillId="11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165" fontId="9" fillId="11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165" fontId="9" fillId="1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dxfs count="9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 val="1"/>
        <color rgb="FF4C1D95"/>
      </font>
      <fill>
        <patternFill patternType="solid">
          <fgColor rgb="FFEDE9FE"/>
          <bgColor rgb="FFEDE9FE"/>
        </patternFill>
      </fill>
      <border/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/>
    </dxf>
    <dxf>
      <font>
        <b val="1"/>
        <color rgb="FF92400E"/>
      </font>
      <fill>
        <patternFill patternType="solid">
          <fgColor rgb="FFFEF3C7"/>
          <bgColor rgb="FFFEF3C7"/>
        </patternFill>
      </fill>
      <border/>
    </dxf>
    <dxf>
      <font>
        <b val="1"/>
        <color rgb="FF1E40AF"/>
      </font>
      <fill>
        <patternFill patternType="solid">
          <fgColor rgb="FFDBEAFE"/>
          <bgColor rgb="FFDBEAFE"/>
        </patternFill>
      </fill>
      <border/>
    </dxf>
    <dxf>
      <font>
        <b val="1"/>
        <color rgb="FF166534"/>
      </font>
      <fill>
        <patternFill patternType="solid">
          <fgColor rgb="FFDCFCE7"/>
          <bgColor rgb="FFDCFCE7"/>
        </patternFill>
      </fill>
      <border/>
    </dxf>
  </dxfs>
  <tableStyles count="7" defaultTableStyle="TableStyleMedium9" defaultPivotStyle="PivotStyleLight16">
    <tableStyle name="Fase de grupos-style" pivot="0" count="3">
      <tableStyleElement type="headerRow" dxfId="1"/>
      <tableStyleElement type="firstRowStripe" dxfId="2"/>
      <tableStyleElement type="secondRowStripe" dxfId="3"/>
    </tableStyle>
    <tableStyle name="16 avos-style" pivot="0" count="3">
      <tableStyleElement type="headerRow" dxfId="1"/>
      <tableStyleElement type="firstRowStripe" dxfId="2"/>
      <tableStyleElement type="secondRowStripe" dxfId="3"/>
    </tableStyle>
    <tableStyle name="Oitavas de final-style" pivot="0" count="3">
      <tableStyleElement type="headerRow" dxfId="1"/>
      <tableStyleElement type="firstRowStripe" dxfId="2"/>
      <tableStyleElement type="secondRowStripe" dxfId="3"/>
    </tableStyle>
    <tableStyle name="Quartas de final-style" pivot="0" count="3">
      <tableStyleElement type="headerRow" dxfId="1"/>
      <tableStyleElement type="firstRowStripe" dxfId="2"/>
      <tableStyleElement type="secondRowStripe" dxfId="3"/>
    </tableStyle>
    <tableStyle name="Semifinais-style" pivot="0" count="3">
      <tableStyleElement type="headerRow" dxfId="1"/>
      <tableStyleElement type="firstRowStripe" dxfId="2"/>
      <tableStyleElement type="secondRowStripe" dxfId="3"/>
    </tableStyle>
    <tableStyle name="3º lugar-style" pivot="0" count="3">
      <tableStyleElement type="headerRow" dxfId="1"/>
      <tableStyleElement type="firstRowStripe" dxfId="2"/>
      <tableStyleElement type="secondRowStripe" dxfId="3"/>
    </tableStyle>
    <tableStyle name="Final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e_1" displayName="Table_1" ref="A2:K74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Fase de grupo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2:K18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16 avos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2:K10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Oitavas de final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2:K6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Quartas de final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2:K4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Semifinais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2:K3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3º luga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2:K3" headerRowCount="1">
  <tableColumns count="11">
    <tableColumn id="1" name="Número da partida"/>
    <tableColumn id="2" name="Data"/>
    <tableColumn id="3" name="Hora (BRT)"/>
    <tableColumn id="4" name="Partida"/>
    <tableColumn id="5" name="Placar"/>
    <tableColumn id="6" name="1º tempo"/>
    <tableColumn id="7" name="2º tempo"/>
    <tableColumn id="8" name="Lá e cá"/>
    <tableColumn id="9" name="Emoção"/>
    <tableColumn id="10" name="Componente histórico"/>
    <tableColumn id="11" name="Nota final"/>
  </tableColumns>
  <tableStyleInfo name="Fina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ColWidth="12.63" defaultRowHeight="15" customHeight="1"/>
  <cols>
    <col width="41.63" customWidth="1" style="49" min="1" max="1"/>
    <col width="9.380000000000001" customWidth="1" style="49" min="2" max="2"/>
    <col width="8.630000000000001" customWidth="1" style="49" min="3" max="3"/>
    <col width="12.38" customWidth="1" style="49" min="4" max="4"/>
    <col width="6.75" customWidth="1" style="49" min="5" max="5"/>
    <col width="13.13" customWidth="1" style="49" min="6" max="6"/>
    <col width="8.630000000000001" customWidth="1" style="49" min="7" max="26"/>
  </cols>
  <sheetData>
    <row r="1" ht="30" customHeight="1" s="49">
      <c r="A1" s="1" t="inlineStr">
        <is>
          <t>Controle de notas — Copa do Mundo 2026</t>
        </is>
      </c>
    </row>
    <row r="3">
      <c r="A3" s="2" t="inlineStr">
        <is>
          <t>Indicador</t>
        </is>
      </c>
      <c r="B3" s="2" t="inlineStr">
        <is>
          <t>Valor</t>
        </is>
      </c>
      <c r="D3" s="2" t="inlineStr">
        <is>
          <t>Fase</t>
        </is>
      </c>
      <c r="E3" s="2" t="inlineStr">
        <is>
          <t>Partidas</t>
        </is>
      </c>
      <c r="F3" s="2" t="inlineStr">
        <is>
          <t>Média das notas</t>
        </is>
      </c>
    </row>
    <row r="4">
      <c r="A4" s="5" t="inlineStr">
        <is>
          <t>Total de partidas</t>
        </is>
      </c>
      <c r="B4" s="5" t="n">
        <v>104</v>
      </c>
      <c r="C4" s="5" t="n"/>
      <c r="D4" s="5" t="inlineStr">
        <is>
          <t>Fase de grupos</t>
        </is>
      </c>
      <c r="E4" s="5" t="n">
        <v>72</v>
      </c>
      <c r="F4" s="4">
        <f>IF(COUNT('Fase de grupos'!K3:K74)=0,"",ROUND(AVERAGE('Fase de grupos'!K3:K74),2))</f>
        <v/>
      </c>
    </row>
    <row r="5">
      <c r="A5" s="5" t="inlineStr">
        <is>
          <t>Partidas avaliadas</t>
        </is>
      </c>
      <c r="B5" s="5">
        <f>COUNT('Fase de grupos'!K3:K74,'16 avos'!K3:K18,'Oitavas de final'!K3:K10,'Quartas de final'!K3:K6,Semifinais!K3:K4,'3º lugar'!K3,Final!K3)</f>
        <v/>
      </c>
      <c r="C5" s="5" t="n"/>
      <c r="D5" s="5" t="inlineStr">
        <is>
          <t>16 avos</t>
        </is>
      </c>
      <c r="E5" s="5" t="n">
        <v>16</v>
      </c>
      <c r="F5" s="4">
        <f>IF(COUNT('16 avos'!K3:K18)=0,"",ROUND(AVERAGE('16 avos'!K3:K18),2))</f>
        <v/>
      </c>
    </row>
    <row r="6">
      <c r="A6" s="5" t="inlineStr">
        <is>
          <t>Média geral</t>
        </is>
      </c>
      <c r="B6" s="4">
        <f>IF(B5=0,"",ROUND(SUM('Fase de grupos'!K3:K74,'16 avos'!K3:K18,'Oitavas de final'!K3:K10,'Quartas de final'!K3:K6,Semifinais!K3:K4,'3º lugar'!K3,Final!K3)/B5,2))</f>
        <v/>
      </c>
      <c r="C6" s="5" t="n"/>
      <c r="D6" s="5" t="inlineStr">
        <is>
          <t>Oitavas de final</t>
        </is>
      </c>
      <c r="E6" s="5" t="n">
        <v>8</v>
      </c>
      <c r="F6" s="4">
        <f>IF(COUNT('Oitavas de final'!K3:K10)=0,"",ROUND(AVERAGE('Oitavas de final'!K3:K10),2))</f>
        <v/>
      </c>
    </row>
    <row r="7">
      <c r="A7" s="5" t="inlineStr">
        <is>
          <t>Maior nota</t>
        </is>
      </c>
      <c r="B7" s="4">
        <f>IF(B5=0,"",MAX('Fase de grupos'!K3:K74,'16 avos'!K3:K18,'Oitavas de final'!K3:K10,'Quartas de final'!K3:K6,Semifinais!K3:K4,'3º lugar'!K3,Final!K3))</f>
        <v/>
      </c>
      <c r="C7" s="5" t="n"/>
      <c r="D7" s="5" t="inlineStr">
        <is>
          <t>Quartas de final</t>
        </is>
      </c>
      <c r="E7" s="5" t="n">
        <v>4</v>
      </c>
      <c r="F7" s="4">
        <f>IF(COUNT('Quartas de final'!K3:K6)=0,"",ROUND(AVERAGE('Quartas de final'!K3:K6),2))</f>
        <v/>
      </c>
    </row>
    <row r="8">
      <c r="A8" s="5" t="inlineStr">
        <is>
          <t>Menor nota</t>
        </is>
      </c>
      <c r="B8" s="4">
        <f>IF(B5=0,"",MIN('Fase de grupos'!K3:K74,'16 avos'!K3:K18,'Oitavas de final'!K3:K10,'Quartas de final'!K3:K6,Semifinais!K3:K4,'3º lugar'!K3,Final!K3))</f>
        <v/>
      </c>
      <c r="C8" s="5" t="n"/>
      <c r="D8" s="5" t="inlineStr">
        <is>
          <t>Semifinais</t>
        </is>
      </c>
      <c r="E8" s="5" t="n">
        <v>2</v>
      </c>
      <c r="F8" s="4">
        <f>IF(COUNT(Semifinais!K3:K4)=0,"",ROUND(AVERAGE(Semifinais!K3:K4),2))</f>
        <v/>
      </c>
    </row>
    <row r="9">
      <c r="A9" s="5" t="inlineStr">
        <is>
          <t>Última atualização da estrutura</t>
        </is>
      </c>
      <c r="B9" s="6" t="n">
        <v>46190</v>
      </c>
      <c r="C9" s="5" t="n"/>
      <c r="D9" s="5" t="inlineStr">
        <is>
          <t>3º lugar</t>
        </is>
      </c>
      <c r="E9" s="5" t="n">
        <v>1</v>
      </c>
      <c r="F9" s="4">
        <f>IF(COUNT('3º lugar'!K3)=0,"",ROUND(AVERAGE('3º lugar'!K3),2))</f>
        <v/>
      </c>
    </row>
    <row r="10">
      <c r="A10" s="5" t="n"/>
      <c r="B10" s="5" t="n"/>
      <c r="C10" s="5" t="n"/>
      <c r="D10" s="5" t="inlineStr">
        <is>
          <t>Final</t>
        </is>
      </c>
      <c r="E10" s="5" t="n">
        <v>1</v>
      </c>
      <c r="F10" s="4">
        <f>IF(COUNT(Final!K3)=0,"",ROUND(AVERAGE(Final!K3),2))</f>
        <v/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">
    <mergeCell ref="A1:F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2.63" defaultRowHeight="15" customHeight="1"/>
  <cols>
    <col width="13.63" customWidth="1" style="49" min="1" max="1"/>
    <col width="10" customWidth="1" style="49" min="2" max="2"/>
    <col width="14.75" customWidth="1" style="49" min="3" max="3"/>
    <col width="26.63" customWidth="1" style="49" min="4" max="4"/>
    <col width="8.630000000000001" customWidth="1" style="49" min="5" max="26"/>
  </cols>
  <sheetData>
    <row r="1" ht="30" customHeight="1" s="49">
      <c r="A1" s="1" t="inlineStr">
        <is>
          <t>Quesitos e pesos da nota final</t>
        </is>
      </c>
    </row>
    <row r="2">
      <c r="A2" s="2" t="inlineStr">
        <is>
          <t>Quesito</t>
        </is>
      </c>
      <c r="B2" s="2" t="inlineStr">
        <is>
          <t>Peso</t>
        </is>
      </c>
      <c r="C2" s="2" t="inlineStr">
        <is>
          <t>Peso (%)</t>
        </is>
      </c>
      <c r="D2" s="2" t="inlineStr">
        <is>
          <t>Orientação</t>
        </is>
      </c>
    </row>
    <row r="3">
      <c r="A3" s="7" t="inlineStr">
        <is>
          <t>1º tempo</t>
        </is>
      </c>
      <c r="B3" s="8" t="n">
        <v>2.5</v>
      </c>
      <c r="C3" s="9" t="n">
        <v>0.25</v>
      </c>
      <c r="D3" s="10" t="inlineStr">
        <is>
          <t>Nota de 0 a 10 para a qualidade do primeiro tempo.</t>
        </is>
      </c>
    </row>
    <row r="4">
      <c r="A4" s="7" t="inlineStr">
        <is>
          <t>2º tempo</t>
        </is>
      </c>
      <c r="B4" s="8" t="n">
        <v>2.5</v>
      </c>
      <c r="C4" s="9" t="n">
        <v>0.25</v>
      </c>
      <c r="D4" s="10" t="inlineStr">
        <is>
          <t>Nota de 0 a 10 para a qualidade do segundo tempo.</t>
        </is>
      </c>
    </row>
    <row r="5">
      <c r="A5" s="7" t="inlineStr">
        <is>
          <t>Lá e cá</t>
        </is>
      </c>
      <c r="B5" s="8" t="n">
        <v>2</v>
      </c>
      <c r="C5" s="9" t="n">
        <v>0.2</v>
      </c>
      <c r="D5" s="10" t="inlineStr">
        <is>
          <t>Alternância, ataques dos dois lados, ritmo e sensação de jogo aberto.</t>
        </is>
      </c>
    </row>
    <row r="6">
      <c r="A6" s="7" t="inlineStr">
        <is>
          <t>Emoção</t>
        </is>
      </c>
      <c r="B6" s="8" t="n">
        <v>2</v>
      </c>
      <c r="C6" s="9" t="n">
        <v>0.2</v>
      </c>
      <c r="D6" s="10" t="inlineStr">
        <is>
          <t>Tensão, imprevisibilidade, viradas, gols tardios e drama.</t>
        </is>
      </c>
    </row>
    <row r="7">
      <c r="A7" s="7" t="inlineStr">
        <is>
          <t>Componente histórico</t>
        </is>
      </c>
      <c r="B7" s="8" t="n">
        <v>1</v>
      </c>
      <c r="C7" s="9" t="n">
        <v>0.1</v>
      </c>
      <c r="D7" s="10" t="inlineStr">
        <is>
          <t>Contexto histórico, zebras, recordes, rivalidade e relevância para a Copa.</t>
        </is>
      </c>
    </row>
    <row r="8">
      <c r="A8" s="11" t="inlineStr">
        <is>
          <t>Total</t>
        </is>
      </c>
      <c r="B8" s="12" t="n">
        <v>10</v>
      </c>
      <c r="C8" s="13" t="n">
        <v>1</v>
      </c>
      <c r="D8" s="14" t="n"/>
    </row>
    <row r="11">
      <c r="A11" s="2" t="inlineStr">
        <is>
          <t>Legenda de cores</t>
        </is>
      </c>
      <c r="B11" s="2" t="inlineStr">
        <is>
          <t>Faixa</t>
        </is>
      </c>
      <c r="C11" s="2" t="inlineStr">
        <is>
          <t>Cor</t>
        </is>
      </c>
      <c r="D11" s="2" t="inlineStr">
        <is>
          <t>Uso</t>
        </is>
      </c>
    </row>
    <row r="12">
      <c r="A12" s="5" t="inlineStr">
        <is>
          <t>Nota</t>
        </is>
      </c>
      <c r="B12" s="5" t="inlineStr">
        <is>
          <t>0–1,99</t>
        </is>
      </c>
      <c r="C12" s="15" t="n"/>
      <c r="D12" s="5" t="inlineStr">
        <is>
          <t>Aplicada aos quesitos e à nota final</t>
        </is>
      </c>
    </row>
    <row r="13">
      <c r="A13" s="5" t="inlineStr">
        <is>
          <t>Nota</t>
        </is>
      </c>
      <c r="B13" s="5" t="inlineStr">
        <is>
          <t>2–4,99</t>
        </is>
      </c>
      <c r="C13" s="16" t="n"/>
      <c r="D13" s="5" t="inlineStr">
        <is>
          <t>Aplicada aos quesitos e à nota final</t>
        </is>
      </c>
    </row>
    <row r="14">
      <c r="A14" s="5" t="inlineStr">
        <is>
          <t>Nota</t>
        </is>
      </c>
      <c r="B14" s="5" t="inlineStr">
        <is>
          <t>5–6,99</t>
        </is>
      </c>
      <c r="C14" s="17" t="n"/>
      <c r="D14" s="5" t="inlineStr">
        <is>
          <t>Aplicada aos quesitos e à nota final</t>
        </is>
      </c>
    </row>
    <row r="15">
      <c r="A15" s="5" t="inlineStr">
        <is>
          <t>Nota</t>
        </is>
      </c>
      <c r="B15" s="5" t="inlineStr">
        <is>
          <t>7–8,99</t>
        </is>
      </c>
      <c r="C15" s="18" t="n"/>
      <c r="D15" s="5" t="inlineStr">
        <is>
          <t>Aplicada aos quesitos e à nota final</t>
        </is>
      </c>
    </row>
    <row r="16">
      <c r="A16" s="5" t="inlineStr">
        <is>
          <t>Nota</t>
        </is>
      </c>
      <c r="B16" s="5" t="inlineStr">
        <is>
          <t>9–10</t>
        </is>
      </c>
      <c r="C16" s="19" t="n"/>
      <c r="D16" s="5" t="inlineStr">
        <is>
          <t>Aplicada aos quesitos e à nota final</t>
        </is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9" min="1" max="2"/>
    <col width="11" customWidth="1" style="49" min="3" max="3"/>
    <col width="38" customWidth="1" style="49" min="4" max="4"/>
    <col width="10" customWidth="1" style="49" min="5" max="5"/>
    <col width="12" customWidth="1" style="49" min="6" max="9"/>
    <col width="20" customWidth="1" style="49" min="10" max="10"/>
    <col width="12" customWidth="1" style="49" min="11" max="11"/>
    <col width="8.630000000000001" customWidth="1" style="49" min="12" max="26"/>
  </cols>
  <sheetData>
    <row r="1" ht="27.75" customHeight="1" s="49">
      <c r="A1" s="20" t="inlineStr">
        <is>
          <t>Fase de grupos</t>
        </is>
      </c>
    </row>
    <row r="2" ht="36" customHeight="1" s="49">
      <c r="A2" s="21" t="inlineStr">
        <is>
          <t>Número da partida</t>
        </is>
      </c>
      <c r="B2" s="21" t="inlineStr">
        <is>
          <t>Data</t>
        </is>
      </c>
      <c r="C2" s="21" t="inlineStr">
        <is>
          <t>Hora (BRT)</t>
        </is>
      </c>
      <c r="D2" s="21" t="inlineStr">
        <is>
          <t>Partida</t>
        </is>
      </c>
      <c r="E2" s="21" t="inlineStr">
        <is>
          <t>Placar</t>
        </is>
      </c>
      <c r="F2" s="21" t="inlineStr">
        <is>
          <t>1º tempo</t>
        </is>
      </c>
      <c r="G2" s="21" t="inlineStr">
        <is>
          <t>2º tempo</t>
        </is>
      </c>
      <c r="H2" s="21" t="inlineStr">
        <is>
          <t>Lá e cá</t>
        </is>
      </c>
      <c r="I2" s="21" t="inlineStr">
        <is>
          <t>Emoção</t>
        </is>
      </c>
      <c r="J2" s="21" t="inlineStr">
        <is>
          <t>Componente histórico</t>
        </is>
      </c>
      <c r="K2" s="21" t="inlineStr">
        <is>
          <t>Nota final</t>
        </is>
      </c>
    </row>
    <row r="3">
      <c r="A3" s="45" t="n">
        <v>1</v>
      </c>
      <c r="B3" s="23" t="n">
        <v>46184</v>
      </c>
      <c r="C3" s="45" t="inlineStr">
        <is>
          <t>16:00</t>
        </is>
      </c>
      <c r="D3" s="47" t="inlineStr">
        <is>
          <t>México x África do Sul</t>
        </is>
      </c>
      <c r="E3" s="45" t="inlineStr">
        <is>
          <t>2-0</t>
        </is>
      </c>
      <c r="F3" s="25" t="n"/>
      <c r="G3" s="28" t="n"/>
      <c r="H3" s="27" t="n"/>
      <c r="I3" s="28" t="n"/>
      <c r="J3" s="25" t="n"/>
      <c r="K3" s="41">
        <f>IF(COUNT(F3:J3)&lt;5,"",ROUND((F3*Quesitos!$B$3+G3*Quesitos!$B$4+H3*Quesitos!$B$5+I3*Quesitos!$B$6+J3*Quesitos!$B$7)/SUM(Quesitos!$B$3:$B$7),2))</f>
        <v/>
      </c>
    </row>
    <row r="4">
      <c r="A4" s="43" t="n">
        <v>2</v>
      </c>
      <c r="B4" s="31" t="n">
        <v>46184</v>
      </c>
      <c r="C4" s="43" t="inlineStr">
        <is>
          <t>23:00</t>
        </is>
      </c>
      <c r="D4" s="48" t="inlineStr">
        <is>
          <t>Coreia do Sul x Tchéquia</t>
        </is>
      </c>
      <c r="E4" s="43" t="inlineStr">
        <is>
          <t>2-1</t>
        </is>
      </c>
      <c r="F4" s="38" t="n"/>
      <c r="G4" s="34" t="n"/>
      <c r="H4" s="35" t="n"/>
      <c r="I4" s="34" t="n"/>
      <c r="J4" s="35" t="n"/>
      <c r="K4" s="42">
        <f>IF(COUNT(F4:J4)&lt;5,"",ROUND((F4*Quesitos!$B$3+G4*Quesitos!$B$4+H4*Quesitos!$B$5+I4*Quesitos!$B$6+J4*Quesitos!$B$7)/SUM(Quesitos!$B$3:$B$7),2))</f>
        <v/>
      </c>
    </row>
    <row r="5">
      <c r="A5" s="45" t="n">
        <v>3</v>
      </c>
      <c r="B5" s="23" t="n">
        <v>46185</v>
      </c>
      <c r="C5" s="45" t="inlineStr">
        <is>
          <t>16:00</t>
        </is>
      </c>
      <c r="D5" s="47" t="inlineStr">
        <is>
          <t>Canadá x Bósnia e Herzegovina</t>
        </is>
      </c>
      <c r="E5" s="45" t="inlineStr">
        <is>
          <t>1-1</t>
        </is>
      </c>
      <c r="F5" s="37" t="n"/>
      <c r="G5" s="37" t="n"/>
      <c r="H5" s="37" t="n"/>
      <c r="I5" s="37" t="n"/>
      <c r="J5" s="37" t="n"/>
      <c r="K5" s="41">
        <f>IF(COUNT(F5:J5)&lt;5,"",ROUND((F5*Quesitos!$B$3+G5*Quesitos!$B$4+H5*Quesitos!$B$5+I5*Quesitos!$B$6+J5*Quesitos!$B$7)/SUM(Quesitos!$B$3:$B$7),2))</f>
        <v/>
      </c>
    </row>
    <row r="6">
      <c r="A6" s="43" t="n">
        <v>4</v>
      </c>
      <c r="B6" s="31" t="n">
        <v>46185</v>
      </c>
      <c r="C6" s="43" t="inlineStr">
        <is>
          <t>22:00</t>
        </is>
      </c>
      <c r="D6" s="48" t="inlineStr">
        <is>
          <t>Estados Unidos x Paraguai</t>
        </is>
      </c>
      <c r="E6" s="43" t="inlineStr">
        <is>
          <t>4-1</t>
        </is>
      </c>
      <c r="F6" s="34" t="n"/>
      <c r="G6" s="38" t="n"/>
      <c r="H6" s="39" t="n"/>
      <c r="I6" s="38" t="n"/>
      <c r="J6" s="34" t="n"/>
      <c r="K6" s="42">
        <f>IF(COUNT(F6:J6)&lt;5,"",ROUND((F6*Quesitos!$B$3+G6*Quesitos!$B$4+H6*Quesitos!$B$5+I6*Quesitos!$B$6+J6*Quesitos!$B$7)/SUM(Quesitos!$B$3:$B$7),2))</f>
        <v/>
      </c>
    </row>
    <row r="7">
      <c r="A7" s="45" t="n">
        <v>8</v>
      </c>
      <c r="B7" s="23" t="n">
        <v>46186</v>
      </c>
      <c r="C7" s="45" t="inlineStr">
        <is>
          <t>16:00</t>
        </is>
      </c>
      <c r="D7" s="47" t="inlineStr">
        <is>
          <t>Catar x Suíça</t>
        </is>
      </c>
      <c r="E7" s="45" t="inlineStr">
        <is>
          <t>1-1</t>
        </is>
      </c>
      <c r="F7" s="38" t="n"/>
      <c r="G7" s="38" t="n"/>
      <c r="H7" s="35" t="n"/>
      <c r="I7" s="40" t="n"/>
      <c r="J7" s="35" t="n"/>
      <c r="K7" s="41">
        <f>IF(COUNT(F7:J7)&lt;5,"",ROUND((F7*Quesitos!$B$3+G7*Quesitos!$B$4+H7*Quesitos!$B$5+I7*Quesitos!$B$6+J7*Quesitos!$B$7)/SUM(Quesitos!$B$3:$B$7),2))</f>
        <v/>
      </c>
    </row>
    <row r="8">
      <c r="A8" s="43" t="n">
        <v>7</v>
      </c>
      <c r="B8" s="31" t="n">
        <v>46186</v>
      </c>
      <c r="C8" s="43" t="inlineStr">
        <is>
          <t>19:00</t>
        </is>
      </c>
      <c r="D8" s="48" t="inlineStr">
        <is>
          <t>Brasil x Marrocos</t>
        </is>
      </c>
      <c r="E8" s="43" t="inlineStr">
        <is>
          <t>1-1</t>
        </is>
      </c>
      <c r="F8" s="34" t="n"/>
      <c r="G8" s="38" t="n"/>
      <c r="H8" s="34" t="n"/>
      <c r="I8" s="35" t="n"/>
      <c r="J8" s="38" t="n"/>
      <c r="K8" s="42">
        <f>IF(COUNT(F8:J8)&lt;5,"",ROUND((F8*Quesitos!$B$3+G8*Quesitos!$B$4+H8*Quesitos!$B$5+I8*Quesitos!$B$6+J8*Quesitos!$B$7)/SUM(Quesitos!$B$3:$B$7),2))</f>
        <v/>
      </c>
    </row>
    <row r="9">
      <c r="A9" s="45" t="n">
        <v>5</v>
      </c>
      <c r="B9" s="23" t="n">
        <v>46186</v>
      </c>
      <c r="C9" s="45" t="inlineStr">
        <is>
          <t>22:00</t>
        </is>
      </c>
      <c r="D9" s="47" t="inlineStr">
        <is>
          <t>Haiti x Escócia</t>
        </is>
      </c>
      <c r="E9" s="45" t="inlineStr">
        <is>
          <t>0-1</t>
        </is>
      </c>
      <c r="F9" s="41" t="n"/>
      <c r="G9" s="41" t="n"/>
      <c r="H9" s="41" t="n"/>
      <c r="I9" s="41" t="n"/>
      <c r="J9" s="41" t="n"/>
      <c r="K9" s="41">
        <f>IF(COUNT(F9:J9)&lt;5,"",ROUND((F9*Quesitos!$B$3+G9*Quesitos!$B$4+H9*Quesitos!$B$5+I9*Quesitos!$B$6+J9*Quesitos!$B$7)/SUM(Quesitos!$B$3:$B$7),2))</f>
        <v/>
      </c>
    </row>
    <row r="10">
      <c r="A10" s="43" t="n">
        <v>6</v>
      </c>
      <c r="B10" s="31" t="n">
        <v>46187</v>
      </c>
      <c r="C10" s="43" t="inlineStr">
        <is>
          <t>01:00</t>
        </is>
      </c>
      <c r="D10" s="48" t="inlineStr">
        <is>
          <t>Austrália x Turquia</t>
        </is>
      </c>
      <c r="E10" s="43" t="inlineStr">
        <is>
          <t>2-0</t>
        </is>
      </c>
      <c r="F10" s="42" t="n"/>
      <c r="G10" s="42" t="n"/>
      <c r="H10" s="42" t="n"/>
      <c r="I10" s="42" t="n"/>
      <c r="J10" s="42" t="n"/>
      <c r="K10" s="42">
        <f>IF(COUNT(F10:J10)&lt;5,"",ROUND((F10*Quesitos!$B$3+G10*Quesitos!$B$4+H10*Quesitos!$B$5+I10*Quesitos!$B$6+J10*Quesitos!$B$7)/SUM(Quesitos!$B$3:$B$7),2))</f>
        <v/>
      </c>
    </row>
    <row r="11">
      <c r="A11" s="45" t="n">
        <v>10</v>
      </c>
      <c r="B11" s="23" t="n">
        <v>46187</v>
      </c>
      <c r="C11" s="45" t="inlineStr">
        <is>
          <t>14:00</t>
        </is>
      </c>
      <c r="D11" s="47" t="inlineStr">
        <is>
          <t>Alemanha x Curaçao</t>
        </is>
      </c>
      <c r="E11" s="45" t="inlineStr">
        <is>
          <t>7-1</t>
        </is>
      </c>
      <c r="F11" s="41" t="n"/>
      <c r="G11" s="41" t="n"/>
      <c r="H11" s="41" t="n"/>
      <c r="I11" s="41" t="n"/>
      <c r="J11" s="41" t="n"/>
      <c r="K11" s="41">
        <f>IF(COUNT(F11:J11)&lt;5,"",ROUND((F11*Quesitos!$B$3+G11*Quesitos!$B$4+H11*Quesitos!$B$5+I11*Quesitos!$B$6+J11*Quesitos!$B$7)/SUM(Quesitos!$B$3:$B$7),2))</f>
        <v/>
      </c>
    </row>
    <row r="12">
      <c r="A12" s="43" t="n">
        <v>11</v>
      </c>
      <c r="B12" s="31" t="n">
        <v>46187</v>
      </c>
      <c r="C12" s="43" t="inlineStr">
        <is>
          <t>17:00</t>
        </is>
      </c>
      <c r="D12" s="48" t="inlineStr">
        <is>
          <t>Países Baixos x Japão</t>
        </is>
      </c>
      <c r="E12" s="43" t="inlineStr">
        <is>
          <t>2-2</t>
        </is>
      </c>
      <c r="F12" s="42" t="n"/>
      <c r="G12" s="42" t="n"/>
      <c r="H12" s="42" t="n"/>
      <c r="I12" s="42" t="n"/>
      <c r="J12" s="42" t="n"/>
      <c r="K12" s="42">
        <f>IF(COUNT(F12:J12)&lt;5,"",ROUND((F12*Quesitos!$B$3+G12*Quesitos!$B$4+H12*Quesitos!$B$5+I12*Quesitos!$B$6+J12*Quesitos!$B$7)/SUM(Quesitos!$B$3:$B$7),2))</f>
        <v/>
      </c>
    </row>
    <row r="13">
      <c r="A13" s="45" t="n">
        <v>9</v>
      </c>
      <c r="B13" s="23" t="n">
        <v>46187</v>
      </c>
      <c r="C13" s="45" t="inlineStr">
        <is>
          <t>20:00</t>
        </is>
      </c>
      <c r="D13" s="47" t="inlineStr">
        <is>
          <t>Costa do Marfim x Equador</t>
        </is>
      </c>
      <c r="E13" s="45" t="inlineStr">
        <is>
          <t>1-0</t>
        </is>
      </c>
      <c r="F13" s="41" t="n"/>
      <c r="G13" s="41" t="n"/>
      <c r="H13" s="41" t="n"/>
      <c r="I13" s="41" t="n"/>
      <c r="J13" s="41" t="n"/>
      <c r="K13" s="41">
        <f>IF(COUNT(F13:J13)&lt;5,"",ROUND((F13*Quesitos!$B$3+G13*Quesitos!$B$4+H13*Quesitos!$B$5+I13*Quesitos!$B$6+J13*Quesitos!$B$7)/SUM(Quesitos!$B$3:$B$7),2))</f>
        <v/>
      </c>
    </row>
    <row r="14">
      <c r="A14" s="43" t="n">
        <v>12</v>
      </c>
      <c r="B14" s="31" t="n">
        <v>46187</v>
      </c>
      <c r="C14" s="43" t="inlineStr">
        <is>
          <t>23:00</t>
        </is>
      </c>
      <c r="D14" s="48" t="inlineStr">
        <is>
          <t>Suécia x Tunísia</t>
        </is>
      </c>
      <c r="E14" s="43" t="inlineStr">
        <is>
          <t>5-1</t>
        </is>
      </c>
      <c r="F14" s="43" t="n"/>
      <c r="G14" s="42" t="n"/>
      <c r="H14" s="42" t="n"/>
      <c r="I14" s="42" t="n"/>
      <c r="J14" s="42" t="n"/>
      <c r="K14" s="42">
        <f>IF(COUNT(F14:J14)&lt;5,"",ROUND((F14*Quesitos!$B$3+G14*Quesitos!$B$4+H14*Quesitos!$B$5+I14*Quesitos!$B$6+J14*Quesitos!$B$7)/SUM(Quesitos!$B$3:$B$7),2))</f>
        <v/>
      </c>
    </row>
    <row r="15">
      <c r="A15" s="45" t="n">
        <v>14</v>
      </c>
      <c r="B15" s="23" t="n">
        <v>46188</v>
      </c>
      <c r="C15" s="45" t="inlineStr">
        <is>
          <t>13:00</t>
        </is>
      </c>
      <c r="D15" s="47" t="inlineStr">
        <is>
          <t>Espanha x Cabo Verde</t>
        </is>
      </c>
      <c r="E15" s="45" t="inlineStr">
        <is>
          <t>0-0</t>
        </is>
      </c>
      <c r="F15" s="41" t="n"/>
      <c r="G15" s="41" t="n"/>
      <c r="H15" s="41" t="n"/>
      <c r="I15" s="41" t="n"/>
      <c r="J15" s="41" t="n"/>
      <c r="K15" s="41">
        <f>IF(COUNT(F15:J15)&lt;5,"",ROUND((F15*Quesitos!$B$3+G15*Quesitos!$B$4+H15*Quesitos!$B$5+I15*Quesitos!$B$6+J15*Quesitos!$B$7)/SUM(Quesitos!$B$3:$B$7),2))</f>
        <v/>
      </c>
    </row>
    <row r="16">
      <c r="A16" s="43" t="n">
        <v>16</v>
      </c>
      <c r="B16" s="31" t="n">
        <v>46188</v>
      </c>
      <c r="C16" s="43" t="inlineStr">
        <is>
          <t>16:00</t>
        </is>
      </c>
      <c r="D16" s="48" t="inlineStr">
        <is>
          <t>Bélgica x Egito</t>
        </is>
      </c>
      <c r="E16" s="43" t="inlineStr">
        <is>
          <t>1-1</t>
        </is>
      </c>
      <c r="F16" s="42" t="n"/>
      <c r="G16" s="42" t="n"/>
      <c r="H16" s="42" t="n"/>
      <c r="I16" s="42" t="n"/>
      <c r="J16" s="42" t="n"/>
      <c r="K16" s="42">
        <f>IF(COUNT(F16:J16)&lt;5,"",ROUND((F16*Quesitos!$B$3+G16*Quesitos!$B$4+H16*Quesitos!$B$5+I16*Quesitos!$B$6+J16*Quesitos!$B$7)/SUM(Quesitos!$B$3:$B$7),2))</f>
        <v/>
      </c>
    </row>
    <row r="17">
      <c r="A17" s="45" t="n">
        <v>13</v>
      </c>
      <c r="B17" s="23" t="n">
        <v>46188</v>
      </c>
      <c r="C17" s="45" t="inlineStr">
        <is>
          <t>19:00</t>
        </is>
      </c>
      <c r="D17" s="47" t="inlineStr">
        <is>
          <t>Arábia Saudita x Uruguai</t>
        </is>
      </c>
      <c r="E17" s="45" t="inlineStr">
        <is>
          <t>1-1</t>
        </is>
      </c>
      <c r="F17" s="41" t="n"/>
      <c r="G17" s="41" t="n"/>
      <c r="H17" s="41" t="n"/>
      <c r="I17" s="41" t="n"/>
      <c r="J17" s="41" t="n"/>
      <c r="K17" s="41">
        <f>IF(COUNT(F17:J17)&lt;5,"",ROUND((F17*Quesitos!$B$3+G17*Quesitos!$B$4+H17*Quesitos!$B$5+I17*Quesitos!$B$6+J17*Quesitos!$B$7)/SUM(Quesitos!$B$3:$B$7),2))</f>
        <v/>
      </c>
    </row>
    <row r="18">
      <c r="A18" s="43" t="n">
        <v>15</v>
      </c>
      <c r="B18" s="31" t="n">
        <v>46188</v>
      </c>
      <c r="C18" s="43" t="inlineStr">
        <is>
          <t>22:00</t>
        </is>
      </c>
      <c r="D18" s="48" t="inlineStr">
        <is>
          <t>Irã x Nova Zelândia</t>
        </is>
      </c>
      <c r="E18" s="43" t="inlineStr">
        <is>
          <t>2-2</t>
        </is>
      </c>
      <c r="F18" s="42" t="n"/>
      <c r="G18" s="42" t="n"/>
      <c r="H18" s="42" t="n"/>
      <c r="I18" s="42" t="n"/>
      <c r="J18" s="42" t="n"/>
      <c r="K18" s="42">
        <f>IF(COUNT(F18:J18)&lt;5,"",ROUND((F18*Quesitos!$B$3+G18*Quesitos!$B$4+H18*Quesitos!$B$5+I18*Quesitos!$B$6+J18*Quesitos!$B$7)/SUM(Quesitos!$B$3:$B$7),2))</f>
        <v/>
      </c>
    </row>
    <row r="19">
      <c r="A19" s="45" t="n">
        <v>17</v>
      </c>
      <c r="B19" s="23" t="n">
        <v>46189</v>
      </c>
      <c r="C19" s="45" t="inlineStr">
        <is>
          <t>16:00</t>
        </is>
      </c>
      <c r="D19" s="47" t="inlineStr">
        <is>
          <t>França x Senegal</t>
        </is>
      </c>
      <c r="E19" s="45" t="inlineStr">
        <is>
          <t>3-1</t>
        </is>
      </c>
      <c r="F19" s="41" t="n"/>
      <c r="G19" s="41" t="n"/>
      <c r="H19" s="41" t="n"/>
      <c r="I19" s="41" t="n"/>
      <c r="J19" s="41" t="n"/>
      <c r="K19" s="41">
        <f>IF(COUNT(F19:J19)&lt;5,"",ROUND((F19*Quesitos!$B$3+G19*Quesitos!$B$4+H19*Quesitos!$B$5+I19*Quesitos!$B$6+J19*Quesitos!$B$7)/SUM(Quesitos!$B$3:$B$7),2))</f>
        <v/>
      </c>
    </row>
    <row r="20">
      <c r="A20" s="43" t="n">
        <v>18</v>
      </c>
      <c r="B20" s="31" t="n">
        <v>46189</v>
      </c>
      <c r="C20" s="43" t="inlineStr">
        <is>
          <t>19:00</t>
        </is>
      </c>
      <c r="D20" s="48" t="inlineStr">
        <is>
          <t>Iraque x Noruega</t>
        </is>
      </c>
      <c r="E20" s="43" t="inlineStr">
        <is>
          <t>1-4</t>
        </is>
      </c>
      <c r="F20" s="42" t="n"/>
      <c r="G20" s="42" t="n"/>
      <c r="H20" s="42" t="n"/>
      <c r="I20" s="42" t="n"/>
      <c r="J20" s="42" t="n"/>
      <c r="K20" s="42">
        <f>IF(COUNT(F20:J20)&lt;5,"",ROUND((F20*Quesitos!$B$3+G20*Quesitos!$B$4+H20*Quesitos!$B$5+I20*Quesitos!$B$6+J20*Quesitos!$B$7)/SUM(Quesitos!$B$3:$B$7),2))</f>
        <v/>
      </c>
    </row>
    <row r="21" ht="15.75" customHeight="1" s="49">
      <c r="A21" s="45" t="n">
        <v>19</v>
      </c>
      <c r="B21" s="23" t="n">
        <v>46189</v>
      </c>
      <c r="C21" s="45" t="inlineStr">
        <is>
          <t>22:00</t>
        </is>
      </c>
      <c r="D21" s="47" t="inlineStr">
        <is>
          <t>Argentina x Argélia</t>
        </is>
      </c>
      <c r="E21" s="45" t="inlineStr">
        <is>
          <t>3-0</t>
        </is>
      </c>
      <c r="F21" s="41" t="n"/>
      <c r="G21" s="41" t="n"/>
      <c r="H21" s="41" t="n"/>
      <c r="I21" s="41" t="n"/>
      <c r="J21" s="41" t="n"/>
      <c r="K21" s="41">
        <f>IF(COUNT(F21:J21)&lt;5,"",ROUND((F21*Quesitos!$B$3+G21*Quesitos!$B$4+H21*Quesitos!$B$5+I21*Quesitos!$B$6+J21*Quesitos!$B$7)/SUM(Quesitos!$B$3:$B$7),2))</f>
        <v/>
      </c>
    </row>
    <row r="22" ht="15.75" customHeight="1" s="49">
      <c r="A22" s="43" t="n">
        <v>20</v>
      </c>
      <c r="B22" s="31" t="n">
        <v>46190</v>
      </c>
      <c r="C22" s="43" t="inlineStr">
        <is>
          <t>01:00</t>
        </is>
      </c>
      <c r="D22" s="48" t="inlineStr">
        <is>
          <t>Áustria x Jordânia</t>
        </is>
      </c>
      <c r="E22" s="43" t="inlineStr">
        <is>
          <t>3-1</t>
        </is>
      </c>
      <c r="F22" s="42" t="n"/>
      <c r="G22" s="42" t="n"/>
      <c r="H22" s="42" t="n"/>
      <c r="I22" s="42" t="n"/>
      <c r="J22" s="42" t="n"/>
      <c r="K22" s="42">
        <f>IF(COUNT(F22:J22)&lt;5,"",ROUND((F22*Quesitos!$B$3+G22*Quesitos!$B$4+H22*Quesitos!$B$5+I22*Quesitos!$B$6+J22*Quesitos!$B$7)/SUM(Quesitos!$B$3:$B$7),2))</f>
        <v/>
      </c>
    </row>
    <row r="23" ht="15.75" customHeight="1" s="49">
      <c r="A23" s="45" t="n">
        <v>23</v>
      </c>
      <c r="B23" s="23" t="n">
        <v>46190</v>
      </c>
      <c r="C23" s="45" t="inlineStr">
        <is>
          <t>14:00</t>
        </is>
      </c>
      <c r="D23" s="47" t="inlineStr">
        <is>
          <t>Portugal x RD Congo</t>
        </is>
      </c>
      <c r="E23" s="45" t="inlineStr">
        <is>
          <t>1-1</t>
        </is>
      </c>
      <c r="F23" s="41" t="n"/>
      <c r="G23" s="41" t="n"/>
      <c r="H23" s="41" t="n"/>
      <c r="I23" s="41" t="n"/>
      <c r="J23" s="41" t="n"/>
      <c r="K23" s="41">
        <f>IF(COUNT(F23:J23)&lt;5,"",ROUND((F23*Quesitos!$B$3+G23*Quesitos!$B$4+H23*Quesitos!$B$5+I23*Quesitos!$B$6+J23*Quesitos!$B$7)/SUM(Quesitos!$B$3:$B$7),2))</f>
        <v/>
      </c>
    </row>
    <row r="24" ht="15.75" customHeight="1" s="49">
      <c r="A24" s="43" t="n">
        <v>22</v>
      </c>
      <c r="B24" s="31" t="n">
        <v>46190</v>
      </c>
      <c r="C24" s="43" t="inlineStr">
        <is>
          <t>17:00</t>
        </is>
      </c>
      <c r="D24" s="48" t="inlineStr">
        <is>
          <t>Inglaterra x Croácia</t>
        </is>
      </c>
      <c r="E24" s="44" t="n">
        <v>46057</v>
      </c>
      <c r="F24" s="42" t="n"/>
      <c r="G24" s="42" t="n"/>
      <c r="H24" s="42" t="n"/>
      <c r="I24" s="42" t="n"/>
      <c r="J24" s="42" t="n"/>
      <c r="K24" s="42">
        <f>IF(COUNT(F24:J24)&lt;5,"",ROUND((F24*Quesitos!$B$3+G24*Quesitos!$B$4+H24*Quesitos!$B$5+I24*Quesitos!$B$6+J24*Quesitos!$B$7)/SUM(Quesitos!$B$3:$B$7),2))</f>
        <v/>
      </c>
    </row>
    <row r="25" ht="15.75" customHeight="1" s="49">
      <c r="A25" s="45" t="n">
        <v>21</v>
      </c>
      <c r="B25" s="23" t="n">
        <v>46190</v>
      </c>
      <c r="C25" s="45" t="inlineStr">
        <is>
          <t>20:00</t>
        </is>
      </c>
      <c r="D25" s="47" t="inlineStr">
        <is>
          <t>Gana x Panamá</t>
        </is>
      </c>
      <c r="E25" s="45" t="inlineStr">
        <is>
          <t>0-0</t>
        </is>
      </c>
      <c r="F25" s="41" t="n"/>
      <c r="G25" s="41" t="n"/>
      <c r="H25" s="41" t="n"/>
      <c r="I25" s="41" t="n"/>
      <c r="J25" s="41" t="n"/>
      <c r="K25" s="41">
        <f>IF(COUNT(F25:J25)&lt;5,"",ROUND((F25*Quesitos!$B$3+G25*Quesitos!$B$4+H25*Quesitos!$B$5+I25*Quesitos!$B$6+J25*Quesitos!$B$7)/SUM(Quesitos!$B$3:$B$7),2))</f>
        <v/>
      </c>
    </row>
    <row r="26" ht="15.75" customHeight="1" s="49">
      <c r="A26" s="43" t="n">
        <v>24</v>
      </c>
      <c r="B26" s="31" t="n">
        <v>46190</v>
      </c>
      <c r="C26" s="43" t="inlineStr">
        <is>
          <t>23:00</t>
        </is>
      </c>
      <c r="D26" s="48" t="inlineStr">
        <is>
          <t>Uzbequistão x Colômbia</t>
        </is>
      </c>
      <c r="E26" s="44" t="n">
        <v>46082</v>
      </c>
      <c r="F26" s="42" t="n"/>
      <c r="G26" s="42" t="n"/>
      <c r="H26" s="42" t="n"/>
      <c r="I26" s="42" t="n"/>
      <c r="J26" s="42" t="n"/>
      <c r="K26" s="42">
        <f>IF(COUNT(F26:J26)&lt;5,"",ROUND((F26*Quesitos!$B$3+G26*Quesitos!$B$4+H26*Quesitos!$B$5+I26*Quesitos!$B$6+J26*Quesitos!$B$7)/SUM(Quesitos!$B$3:$B$7),2))</f>
        <v/>
      </c>
    </row>
    <row r="27" ht="15.75" customHeight="1" s="49">
      <c r="A27" s="45" t="n">
        <v>25</v>
      </c>
      <c r="B27" s="23" t="n">
        <v>46191</v>
      </c>
      <c r="C27" s="45" t="inlineStr">
        <is>
          <t>13:00</t>
        </is>
      </c>
      <c r="D27" s="47" t="inlineStr">
        <is>
          <t>Tchéquia x África do Sul</t>
        </is>
      </c>
      <c r="E27" s="46" t="n">
        <v>46023</v>
      </c>
      <c r="F27" s="41" t="n"/>
      <c r="G27" s="41" t="n"/>
      <c r="H27" s="41" t="n"/>
      <c r="I27" s="41" t="n"/>
      <c r="J27" s="41" t="n"/>
      <c r="K27" s="41">
        <f>IF(COUNT(F27:J27)&lt;5,"",ROUND((F27*Quesitos!$B$3+G27*Quesitos!$B$4+H27*Quesitos!$B$5+I27*Quesitos!$B$6+J27*Quesitos!$B$7)/SUM(Quesitos!$B$3:$B$7),2))</f>
        <v/>
      </c>
    </row>
    <row r="28" ht="15.75" customHeight="1" s="49">
      <c r="A28" s="43" t="n">
        <v>26</v>
      </c>
      <c r="B28" s="31" t="n">
        <v>46191</v>
      </c>
      <c r="C28" s="43" t="inlineStr">
        <is>
          <t>16:00</t>
        </is>
      </c>
      <c r="D28" s="48" t="inlineStr">
        <is>
          <t>Suíça x Bósnia e Herzegovina</t>
        </is>
      </c>
      <c r="E28" s="44" t="n">
        <v>46026</v>
      </c>
      <c r="F28" s="42" t="n"/>
      <c r="G28" s="42" t="n"/>
      <c r="H28" s="42" t="n"/>
      <c r="I28" s="42" t="n"/>
      <c r="J28" s="42" t="n"/>
      <c r="K28" s="42">
        <f>IF(COUNT(F28:J28)&lt;5,"",ROUND((F28*Quesitos!$B$3+G28*Quesitos!$B$4+H28*Quesitos!$B$5+I28*Quesitos!$B$6+J28*Quesitos!$B$7)/SUM(Quesitos!$B$3:$B$7),2))</f>
        <v/>
      </c>
    </row>
    <row r="29" ht="15.75" customHeight="1" s="49">
      <c r="A29" s="45" t="n">
        <v>27</v>
      </c>
      <c r="B29" s="23" t="n">
        <v>46191</v>
      </c>
      <c r="C29" s="45" t="inlineStr">
        <is>
          <t>19:00</t>
        </is>
      </c>
      <c r="D29" s="47" t="inlineStr">
        <is>
          <t>Canadá x Catar</t>
        </is>
      </c>
      <c r="E29" s="45" t="inlineStr">
        <is>
          <t>6-0</t>
        </is>
      </c>
      <c r="F29" s="41" t="n"/>
      <c r="G29" s="41" t="n"/>
      <c r="H29" s="41" t="n"/>
      <c r="I29" s="41" t="n"/>
      <c r="J29" s="41" t="n"/>
      <c r="K29" s="41">
        <f>IF(COUNT(F29:J29)&lt;5,"",ROUND((F29*Quesitos!$B$3+G29*Quesitos!$B$4+H29*Quesitos!$B$5+I29*Quesitos!$B$6+J29*Quesitos!$B$7)/SUM(Quesitos!$B$3:$B$7),2))</f>
        <v/>
      </c>
    </row>
    <row r="30" ht="15.75" customHeight="1" s="49">
      <c r="A30" s="43" t="n">
        <v>28</v>
      </c>
      <c r="B30" s="31" t="n">
        <v>46191</v>
      </c>
      <c r="C30" s="43" t="inlineStr">
        <is>
          <t>22:00</t>
        </is>
      </c>
      <c r="D30" s="48" t="inlineStr">
        <is>
          <t>México x Coreia do Sul</t>
        </is>
      </c>
      <c r="E30" s="43" t="inlineStr">
        <is>
          <t>1-0</t>
        </is>
      </c>
      <c r="F30" s="42" t="n"/>
      <c r="G30" s="42" t="n"/>
      <c r="H30" s="42" t="n"/>
      <c r="I30" s="42" t="n"/>
      <c r="J30" s="42" t="n"/>
      <c r="K30" s="42">
        <f>IF(COUNT(F30:J30)&lt;5,"",ROUND((F30*Quesitos!$B$3+G30*Quesitos!$B$4+H30*Quesitos!$B$5+I30*Quesitos!$B$6+J30*Quesitos!$B$7)/SUM(Quesitos!$B$3:$B$7),2))</f>
        <v/>
      </c>
    </row>
    <row r="31" ht="15.75" customHeight="1" s="49">
      <c r="A31" s="45" t="n">
        <v>32</v>
      </c>
      <c r="B31" s="23" t="n">
        <v>46192</v>
      </c>
      <c r="C31" s="45" t="inlineStr">
        <is>
          <t>16:00</t>
        </is>
      </c>
      <c r="D31" s="47" t="inlineStr">
        <is>
          <t>Estados Unidos x Austrália</t>
        </is>
      </c>
      <c r="E31" s="45" t="inlineStr">
        <is>
          <t>2-0</t>
        </is>
      </c>
      <c r="F31" s="41" t="n"/>
      <c r="G31" s="41" t="n"/>
      <c r="H31" s="41" t="n"/>
      <c r="I31" s="41" t="n"/>
      <c r="J31" s="41" t="n"/>
      <c r="K31" s="41">
        <f>IF(COUNT(F31:J31)&lt;5,"",ROUND((F31*Quesitos!$B$3+G31*Quesitos!$B$4+H31*Quesitos!$B$5+I31*Quesitos!$B$6+J31*Quesitos!$B$7)/SUM(Quesitos!$B$3:$B$7),2))</f>
        <v/>
      </c>
    </row>
    <row r="32" ht="15.75" customHeight="1" s="49">
      <c r="A32" s="43" t="n">
        <v>30</v>
      </c>
      <c r="B32" s="31" t="n">
        <v>46192</v>
      </c>
      <c r="C32" s="43" t="inlineStr">
        <is>
          <t>19:00</t>
        </is>
      </c>
      <c r="D32" s="48" t="inlineStr">
        <is>
          <t>Escócia x Marrocos</t>
        </is>
      </c>
      <c r="E32" s="43" t="inlineStr">
        <is>
          <t>0-1</t>
        </is>
      </c>
      <c r="F32" s="42" t="n"/>
      <c r="G32" s="42" t="n"/>
      <c r="H32" s="42" t="n"/>
      <c r="I32" s="42" t="n"/>
      <c r="J32" s="42" t="n"/>
      <c r="K32" s="42">
        <f>IF(COUNT(F32:J32)&lt;5,"",ROUND((F32*Quesitos!$B$3+G32*Quesitos!$B$4+H32*Quesitos!$B$5+I32*Quesitos!$B$6+J32*Quesitos!$B$7)/SUM(Quesitos!$B$3:$B$7),2))</f>
        <v/>
      </c>
    </row>
    <row r="33" ht="15.75" customHeight="1" s="49">
      <c r="A33" s="45" t="n">
        <v>29</v>
      </c>
      <c r="B33" s="23" t="n">
        <v>46192</v>
      </c>
      <c r="C33" s="45" t="inlineStr">
        <is>
          <t>22:00</t>
        </is>
      </c>
      <c r="D33" s="47" t="inlineStr">
        <is>
          <t>Brasil x Haiti</t>
        </is>
      </c>
      <c r="E33" s="45" t="inlineStr">
        <is>
          <t>3-0</t>
        </is>
      </c>
      <c r="F33" s="41" t="n"/>
      <c r="G33" s="41" t="n"/>
      <c r="H33" s="41" t="n"/>
      <c r="I33" s="41" t="n"/>
      <c r="J33" s="41" t="n"/>
      <c r="K33" s="41">
        <f>IF(COUNT(F33:J33)&lt;5,"",ROUND((F33*Quesitos!$B$3+G33*Quesitos!$B$4+H33*Quesitos!$B$5+I33*Quesitos!$B$6+J33*Quesitos!$B$7)/SUM(Quesitos!$B$3:$B$7),2))</f>
        <v/>
      </c>
    </row>
    <row r="34" ht="15.75" customHeight="1" s="49">
      <c r="A34" s="43" t="n">
        <v>31</v>
      </c>
      <c r="B34" s="31" t="n">
        <v>46193</v>
      </c>
      <c r="C34" s="43" t="inlineStr">
        <is>
          <t>00:00</t>
        </is>
      </c>
      <c r="D34" s="48" t="inlineStr">
        <is>
          <t>Turquia x Paraguai</t>
        </is>
      </c>
      <c r="E34" s="43" t="inlineStr">
        <is>
          <t>0-1</t>
        </is>
      </c>
      <c r="F34" s="42" t="n"/>
      <c r="G34" s="42" t="n"/>
      <c r="H34" s="42" t="n"/>
      <c r="I34" s="42" t="n"/>
      <c r="J34" s="42" t="n"/>
      <c r="K34" s="42">
        <f>IF(COUNT(F34:J34)&lt;5,"",ROUND((F34*Quesitos!$B$3+G34*Quesitos!$B$4+H34*Quesitos!$B$5+I34*Quesitos!$B$6+J34*Quesitos!$B$7)/SUM(Quesitos!$B$3:$B$7),2))</f>
        <v/>
      </c>
    </row>
    <row r="35" ht="15.75" customHeight="1" s="49">
      <c r="A35" s="45" t="n">
        <v>35</v>
      </c>
      <c r="B35" s="23" t="n">
        <v>46193</v>
      </c>
      <c r="C35" s="45" t="inlineStr">
        <is>
          <t>14:00</t>
        </is>
      </c>
      <c r="D35" s="47" t="inlineStr">
        <is>
          <t>Países Baixos x Suécia</t>
        </is>
      </c>
      <c r="E35" s="46" t="n">
        <v>46027</v>
      </c>
      <c r="F35" s="41" t="n"/>
      <c r="G35" s="41" t="n"/>
      <c r="H35" s="41" t="n"/>
      <c r="I35" s="41" t="n"/>
      <c r="J35" s="41" t="n"/>
      <c r="K35" s="41">
        <f>IF(COUNT(F35:J35)&lt;5,"",ROUND((F35*Quesitos!$B$3+G35*Quesitos!$B$4+H35*Quesitos!$B$5+I35*Quesitos!$B$6+J35*Quesitos!$B$7)/SUM(Quesitos!$B$3:$B$7),2))</f>
        <v/>
      </c>
    </row>
    <row r="36" ht="15.75" customHeight="1" s="49">
      <c r="A36" s="43" t="n">
        <v>33</v>
      </c>
      <c r="B36" s="31" t="n">
        <v>46193</v>
      </c>
      <c r="C36" s="43" t="inlineStr">
        <is>
          <t>17:00</t>
        </is>
      </c>
      <c r="D36" s="48" t="inlineStr">
        <is>
          <t>Alemanha x Costa do Marfim</t>
        </is>
      </c>
      <c r="E36" s="44" t="n">
        <v>46024</v>
      </c>
      <c r="F36" s="42" t="n"/>
      <c r="G36" s="42" t="n"/>
      <c r="H36" s="42" t="n"/>
      <c r="I36" s="42" t="n"/>
      <c r="J36" s="42" t="n"/>
      <c r="K36" s="42">
        <f>IF(COUNT(F36:J36)&lt;5,"",ROUND((F36*Quesitos!$B$3+G36*Quesitos!$B$4+H36*Quesitos!$B$5+I36*Quesitos!$B$6+J36*Quesitos!$B$7)/SUM(Quesitos!$B$3:$B$7),2))</f>
        <v/>
      </c>
    </row>
    <row r="37" ht="15.75" customHeight="1" s="49">
      <c r="A37" s="45" t="n">
        <v>34</v>
      </c>
      <c r="B37" s="23" t="n">
        <v>46193</v>
      </c>
      <c r="C37" s="45" t="inlineStr">
        <is>
          <t>21:00</t>
        </is>
      </c>
      <c r="D37" s="47" t="inlineStr">
        <is>
          <t>Equador x Curaçao</t>
        </is>
      </c>
      <c r="E37" s="45" t="inlineStr">
        <is>
          <t>0-0</t>
        </is>
      </c>
      <c r="F37" s="41" t="n"/>
      <c r="G37" s="41" t="n"/>
      <c r="H37" s="41" t="n"/>
      <c r="I37" s="41" t="n"/>
      <c r="J37" s="41" t="n"/>
      <c r="K37" s="41">
        <f>IF(COUNT(F37:J37)&lt;5,"",ROUND((F37*Quesitos!$B$3+G37*Quesitos!$B$4+H37*Quesitos!$B$5+I37*Quesitos!$B$6+J37*Quesitos!$B$7)/SUM(Quesitos!$B$3:$B$7),2))</f>
        <v/>
      </c>
    </row>
    <row r="38" ht="15.75" customHeight="1" s="49">
      <c r="A38" s="43" t="n">
        <v>36</v>
      </c>
      <c r="B38" s="31" t="n">
        <v>46194</v>
      </c>
      <c r="C38" s="43" t="inlineStr">
        <is>
          <t>01:00</t>
        </is>
      </c>
      <c r="D38" s="48" t="inlineStr">
        <is>
          <t>Tunísia x Japão</t>
        </is>
      </c>
      <c r="E38" s="43" t="inlineStr">
        <is>
          <t>0-4</t>
        </is>
      </c>
      <c r="F38" s="42" t="n"/>
      <c r="G38" s="42" t="n"/>
      <c r="H38" s="42" t="n"/>
      <c r="I38" s="42" t="n"/>
      <c r="J38" s="42" t="n"/>
      <c r="K38" s="42">
        <f>IF(COUNT(F38:J38)&lt;5,"",ROUND((F38*Quesitos!$B$3+G38*Quesitos!$B$4+H38*Quesitos!$B$5+I38*Quesitos!$B$6+J38*Quesitos!$B$7)/SUM(Quesitos!$B$3:$B$7),2))</f>
        <v/>
      </c>
    </row>
    <row r="39" ht="15.75" customHeight="1" s="49">
      <c r="A39" s="45" t="n">
        <v>38</v>
      </c>
      <c r="B39" s="23" t="n">
        <v>46194</v>
      </c>
      <c r="C39" s="45" t="inlineStr">
        <is>
          <t>13:00</t>
        </is>
      </c>
      <c r="D39" s="47" t="inlineStr">
        <is>
          <t>Espanha x Arábia Saudita</t>
        </is>
      </c>
      <c r="E39" s="45" t="inlineStr">
        <is>
          <t>4-0</t>
        </is>
      </c>
      <c r="F39" s="41" t="n"/>
      <c r="G39" s="41" t="n"/>
      <c r="H39" s="41" t="n"/>
      <c r="I39" s="41" t="n"/>
      <c r="J39" s="41" t="n"/>
      <c r="K39" s="41">
        <f>IF(COUNT(F39:J39)&lt;5,"",ROUND((F39*Quesitos!$B$3+G39*Quesitos!$B$4+H39*Quesitos!$B$5+I39*Quesitos!$B$6+J39*Quesitos!$B$7)/SUM(Quesitos!$B$3:$B$7),2))</f>
        <v/>
      </c>
    </row>
    <row r="40" ht="15.75" customHeight="1" s="49">
      <c r="A40" s="43" t="n">
        <v>39</v>
      </c>
      <c r="B40" s="31" t="n">
        <v>46194</v>
      </c>
      <c r="C40" s="43" t="inlineStr">
        <is>
          <t>16:00</t>
        </is>
      </c>
      <c r="D40" s="48" t="inlineStr">
        <is>
          <t>Bélgica x Irã</t>
        </is>
      </c>
      <c r="E40" s="43" t="inlineStr">
        <is>
          <t>0-0</t>
        </is>
      </c>
      <c r="F40" s="42" t="n"/>
      <c r="G40" s="42" t="n"/>
      <c r="H40" s="42" t="n"/>
      <c r="I40" s="42" t="n"/>
      <c r="J40" s="42" t="n"/>
      <c r="K40" s="42">
        <f>IF(COUNT(F40:J40)&lt;5,"",ROUND((F40*Quesitos!$B$3+G40*Quesitos!$B$4+H40*Quesitos!$B$5+I40*Quesitos!$B$6+J40*Quesitos!$B$7)/SUM(Quesitos!$B$3:$B$7),2))</f>
        <v/>
      </c>
    </row>
    <row r="41" ht="15.75" customHeight="1" s="49">
      <c r="A41" s="45" t="n">
        <v>37</v>
      </c>
      <c r="B41" s="23" t="n">
        <v>46194</v>
      </c>
      <c r="C41" s="45" t="inlineStr">
        <is>
          <t>19:00</t>
        </is>
      </c>
      <c r="D41" s="47" t="inlineStr">
        <is>
          <t>Uruguai x Cabo Verde</t>
        </is>
      </c>
      <c r="E41" s="46" t="n">
        <v>46055</v>
      </c>
      <c r="F41" s="41" t="n"/>
      <c r="G41" s="41" t="n"/>
      <c r="H41" s="41" t="n"/>
      <c r="I41" s="41" t="n"/>
      <c r="J41" s="41" t="n"/>
      <c r="K41" s="41">
        <f>IF(COUNT(F41:J41)&lt;5,"",ROUND((F41*Quesitos!$B$3+G41*Quesitos!$B$4+H41*Quesitos!$B$5+I41*Quesitos!$B$6+J41*Quesitos!$B$7)/SUM(Quesitos!$B$3:$B$7),2))</f>
        <v/>
      </c>
    </row>
    <row r="42" ht="15.75" customHeight="1" s="49">
      <c r="A42" s="43" t="n">
        <v>40</v>
      </c>
      <c r="B42" s="31" t="n">
        <v>46194</v>
      </c>
      <c r="C42" s="43" t="inlineStr">
        <is>
          <t>22:00</t>
        </is>
      </c>
      <c r="D42" s="48" t="inlineStr">
        <is>
          <t>Nova Zelândia x Egito</t>
        </is>
      </c>
      <c r="E42" s="44" t="n">
        <v>46082</v>
      </c>
      <c r="F42" s="42" t="n"/>
      <c r="G42" s="42" t="n"/>
      <c r="H42" s="42" t="n"/>
      <c r="I42" s="42" t="n"/>
      <c r="J42" s="42" t="n"/>
      <c r="K42" s="42">
        <f>IF(COUNT(F42:J42)&lt;5,"",ROUND((F42*Quesitos!$B$3+G42*Quesitos!$B$4+H42*Quesitos!$B$5+I42*Quesitos!$B$6+J42*Quesitos!$B$7)/SUM(Quesitos!$B$3:$B$7),2))</f>
        <v/>
      </c>
    </row>
    <row r="43" ht="15.75" customHeight="1" s="49">
      <c r="A43" s="45" t="n">
        <v>43</v>
      </c>
      <c r="B43" s="23" t="n">
        <v>46195</v>
      </c>
      <c r="C43" s="45" t="inlineStr">
        <is>
          <t>14:00</t>
        </is>
      </c>
      <c r="D43" s="47" t="inlineStr">
        <is>
          <t>Argentina x Áustria</t>
        </is>
      </c>
      <c r="E43" s="45" t="inlineStr">
        <is>
          <t>2-0</t>
        </is>
      </c>
      <c r="F43" s="41" t="n"/>
      <c r="G43" s="41" t="n"/>
      <c r="H43" s="41" t="n"/>
      <c r="I43" s="41" t="n"/>
      <c r="J43" s="41" t="n"/>
      <c r="K43" s="41">
        <f>IF(COUNT(F43:J43)&lt;5,"",ROUND((F43*Quesitos!$B$3+G43*Quesitos!$B$4+H43*Quesitos!$B$5+I43*Quesitos!$B$6+J43*Quesitos!$B$7)/SUM(Quesitos!$B$3:$B$7),2))</f>
        <v/>
      </c>
    </row>
    <row r="44" ht="15.75" customHeight="1" s="49">
      <c r="A44" s="43" t="n">
        <v>42</v>
      </c>
      <c r="B44" s="31" t="n">
        <v>46195</v>
      </c>
      <c r="C44" s="43" t="inlineStr">
        <is>
          <t>18:00</t>
        </is>
      </c>
      <c r="D44" s="48" t="inlineStr">
        <is>
          <t>França x Iraque</t>
        </is>
      </c>
      <c r="E44" s="43" t="inlineStr">
        <is>
          <t>3-0</t>
        </is>
      </c>
      <c r="F44" s="42" t="n"/>
      <c r="G44" s="42" t="n"/>
      <c r="H44" s="42" t="n"/>
      <c r="I44" s="42" t="n"/>
      <c r="J44" s="42" t="n"/>
      <c r="K44" s="42">
        <f>IF(COUNT(F44:J44)&lt;5,"",ROUND((F44*Quesitos!$B$3+G44*Quesitos!$B$4+H44*Quesitos!$B$5+I44*Quesitos!$B$6+J44*Quesitos!$B$7)/SUM(Quesitos!$B$3:$B$7),2))</f>
        <v/>
      </c>
    </row>
    <row r="45" ht="15.75" customHeight="1" s="49">
      <c r="A45" s="45" t="n">
        <v>41</v>
      </c>
      <c r="B45" s="23" t="n">
        <v>46195</v>
      </c>
      <c r="C45" s="45" t="inlineStr">
        <is>
          <t>21:00</t>
        </is>
      </c>
      <c r="D45" s="47" t="inlineStr">
        <is>
          <t>Noruega x Senegal</t>
        </is>
      </c>
      <c r="E45" s="46" t="n">
        <v>46056</v>
      </c>
      <c r="F45" s="41" t="n"/>
      <c r="G45" s="41" t="n"/>
      <c r="H45" s="41" t="n"/>
      <c r="I45" s="41" t="n"/>
      <c r="J45" s="41" t="n"/>
      <c r="K45" s="41">
        <f>IF(COUNT(F45:J45)&lt;5,"",ROUND((F45*Quesitos!$B$3+G45*Quesitos!$B$4+H45*Quesitos!$B$5+I45*Quesitos!$B$6+J45*Quesitos!$B$7)/SUM(Quesitos!$B$3:$B$7),2))</f>
        <v/>
      </c>
    </row>
    <row r="46" ht="15.75" customHeight="1" s="49">
      <c r="A46" s="43" t="n">
        <v>44</v>
      </c>
      <c r="B46" s="31" t="n">
        <v>46196</v>
      </c>
      <c r="C46" s="43" t="inlineStr">
        <is>
          <t>00:00</t>
        </is>
      </c>
      <c r="D46" s="48" t="inlineStr">
        <is>
          <t>Jordânia x Argélia</t>
        </is>
      </c>
      <c r="E46" s="44" t="n">
        <v>46054</v>
      </c>
      <c r="F46" s="42" t="n"/>
      <c r="G46" s="42" t="n"/>
      <c r="H46" s="42" t="n"/>
      <c r="I46" s="42" t="n"/>
      <c r="J46" s="42" t="n"/>
      <c r="K46" s="42">
        <f>IF(COUNT(F46:J46)&lt;5,"",ROUND((F46*Quesitos!$B$3+G46*Quesitos!$B$4+H46*Quesitos!$B$5+I46*Quesitos!$B$6+J46*Quesitos!$B$7)/SUM(Quesitos!$B$3:$B$7),2))</f>
        <v/>
      </c>
    </row>
    <row r="47" ht="15.75" customHeight="1" s="49">
      <c r="A47" s="45" t="n">
        <v>47</v>
      </c>
      <c r="B47" s="23" t="n">
        <v>46196</v>
      </c>
      <c r="C47" s="45" t="inlineStr">
        <is>
          <t>14:00</t>
        </is>
      </c>
      <c r="D47" s="47" t="inlineStr">
        <is>
          <t>Portugal x Uzbequistão</t>
        </is>
      </c>
      <c r="E47" s="45" t="inlineStr">
        <is>
          <t>5-0</t>
        </is>
      </c>
      <c r="F47" s="41" t="n"/>
      <c r="G47" s="41" t="n"/>
      <c r="H47" s="41" t="n"/>
      <c r="I47" s="41" t="n"/>
      <c r="J47" s="41" t="n"/>
      <c r="K47" s="41">
        <f>IF(COUNT(F47:J47)&lt;5,"",ROUND((F47*Quesitos!$B$3+G47*Quesitos!$B$4+H47*Quesitos!$B$5+I47*Quesitos!$B$6+J47*Quesitos!$B$7)/SUM(Quesitos!$B$3:$B$7),2))</f>
        <v/>
      </c>
    </row>
    <row r="48" ht="15.75" customHeight="1" s="49">
      <c r="A48" s="43" t="n">
        <v>45</v>
      </c>
      <c r="B48" s="31" t="n">
        <v>46196</v>
      </c>
      <c r="C48" s="43" t="inlineStr">
        <is>
          <t>17:00</t>
        </is>
      </c>
      <c r="D48" s="48" t="inlineStr">
        <is>
          <t>Inglaterra x Gana</t>
        </is>
      </c>
      <c r="E48" s="43" t="inlineStr">
        <is>
          <t>0-0</t>
        </is>
      </c>
      <c r="F48" s="42" t="n"/>
      <c r="G48" s="42" t="n"/>
      <c r="H48" s="42" t="n"/>
      <c r="I48" s="42" t="n"/>
      <c r="J48" s="42" t="n"/>
      <c r="K48" s="42">
        <f>IF(COUNT(F48:J48)&lt;5,"",ROUND((F48*Quesitos!$B$3+G48*Quesitos!$B$4+H48*Quesitos!$B$5+I48*Quesitos!$B$6+J48*Quesitos!$B$7)/SUM(Quesitos!$B$3:$B$7),2))</f>
        <v/>
      </c>
    </row>
    <row r="49" ht="15.75" customHeight="1" s="49">
      <c r="A49" s="45" t="n">
        <v>46</v>
      </c>
      <c r="B49" s="23" t="n">
        <v>46196</v>
      </c>
      <c r="C49" s="45" t="inlineStr">
        <is>
          <t>20:00</t>
        </is>
      </c>
      <c r="D49" s="47" t="inlineStr">
        <is>
          <t>Panamá x Croácia</t>
        </is>
      </c>
      <c r="E49" s="45" t="inlineStr">
        <is>
          <t>0-1</t>
        </is>
      </c>
      <c r="F49" s="41" t="n"/>
      <c r="G49" s="41" t="n"/>
      <c r="H49" s="41" t="n"/>
      <c r="I49" s="41" t="n"/>
      <c r="J49" s="41" t="n"/>
      <c r="K49" s="41">
        <f>IF(COUNT(F49:J49)&lt;5,"",ROUND((F49*Quesitos!$B$3+G49*Quesitos!$B$4+H49*Quesitos!$B$5+I49*Quesitos!$B$6+J49*Quesitos!$B$7)/SUM(Quesitos!$B$3:$B$7),2))</f>
        <v/>
      </c>
    </row>
    <row r="50" ht="15.75" customHeight="1" s="49">
      <c r="A50" s="43" t="n">
        <v>48</v>
      </c>
      <c r="B50" s="31" t="n">
        <v>46196</v>
      </c>
      <c r="C50" s="43" t="inlineStr">
        <is>
          <t>23:00</t>
        </is>
      </c>
      <c r="D50" s="48" t="inlineStr">
        <is>
          <t>Colômbia x RD Congo</t>
        </is>
      </c>
      <c r="E50" s="43" t="inlineStr">
        <is>
          <t>1-0</t>
        </is>
      </c>
      <c r="F50" s="42" t="n"/>
      <c r="G50" s="42" t="n"/>
      <c r="H50" s="42" t="n"/>
      <c r="I50" s="42" t="n"/>
      <c r="J50" s="42" t="n"/>
      <c r="K50" s="42">
        <f>IF(COUNT(F50:J50)&lt;5,"",ROUND((F50*Quesitos!$B$3+G50*Quesitos!$B$4+H50*Quesitos!$B$5+I50*Quesitos!$B$6+J50*Quesitos!$B$7)/SUM(Quesitos!$B$3:$B$7),2))</f>
        <v/>
      </c>
    </row>
    <row r="51" ht="15.75" customHeight="1" s="49">
      <c r="A51" s="45" t="n">
        <v>51</v>
      </c>
      <c r="B51" s="23" t="n">
        <v>46197</v>
      </c>
      <c r="C51" s="45" t="inlineStr">
        <is>
          <t>16:00</t>
        </is>
      </c>
      <c r="D51" s="47" t="inlineStr">
        <is>
          <t>Suíça x Canadá</t>
        </is>
      </c>
      <c r="E51" s="46" t="n">
        <v>46024</v>
      </c>
      <c r="F51" s="41" t="n"/>
      <c r="G51" s="41" t="n"/>
      <c r="H51" s="41" t="n"/>
      <c r="I51" s="41" t="n"/>
      <c r="J51" s="41" t="n"/>
      <c r="K51" s="41">
        <f>IF(COUNT(F51:J51)&lt;5,"",ROUND((F51*Quesitos!$B$3+G51*Quesitos!$B$4+H51*Quesitos!$B$5+I51*Quesitos!$B$6+J51*Quesitos!$B$7)/SUM(Quesitos!$B$3:$B$7),2))</f>
        <v/>
      </c>
    </row>
    <row r="52" ht="15.75" customHeight="1" s="49">
      <c r="A52" s="43" t="n">
        <v>52</v>
      </c>
      <c r="B52" s="31" t="n">
        <v>46197</v>
      </c>
      <c r="C52" s="43" t="inlineStr">
        <is>
          <t>16:00</t>
        </is>
      </c>
      <c r="D52" s="48" t="inlineStr">
        <is>
          <t>Bósnia e Herzegovina x Catar</t>
        </is>
      </c>
      <c r="E52" s="44" t="n">
        <v>46025</v>
      </c>
      <c r="F52" s="42" t="n"/>
      <c r="G52" s="42" t="n"/>
      <c r="H52" s="42" t="n"/>
      <c r="I52" s="42" t="n"/>
      <c r="J52" s="42" t="n"/>
      <c r="K52" s="42">
        <f>IF(COUNT(F52:J52)&lt;5,"",ROUND((F52*Quesitos!$B$3+G52*Quesitos!$B$4+H52*Quesitos!$B$5+I52*Quesitos!$B$6+J52*Quesitos!$B$7)/SUM(Quesitos!$B$3:$B$7),2))</f>
        <v/>
      </c>
    </row>
    <row r="53" ht="15.75" customHeight="1" s="49">
      <c r="A53" s="45" t="n">
        <v>49</v>
      </c>
      <c r="B53" s="23" t="n">
        <v>46197</v>
      </c>
      <c r="C53" s="45" t="inlineStr">
        <is>
          <t>19:00</t>
        </is>
      </c>
      <c r="D53" s="47" t="inlineStr">
        <is>
          <t>Escócia x Brasil</t>
        </is>
      </c>
      <c r="E53" s="45" t="inlineStr">
        <is>
          <t>0-3</t>
        </is>
      </c>
      <c r="F53" s="41" t="n"/>
      <c r="G53" s="41" t="n"/>
      <c r="H53" s="41" t="n"/>
      <c r="I53" s="41" t="n"/>
      <c r="J53" s="41" t="n"/>
      <c r="K53" s="41">
        <f>IF(COUNT(F53:J53)&lt;5,"",ROUND((F53*Quesitos!$B$3+G53*Quesitos!$B$4+H53*Quesitos!$B$5+I53*Quesitos!$B$6+J53*Quesitos!$B$7)/SUM(Quesitos!$B$3:$B$7),2))</f>
        <v/>
      </c>
    </row>
    <row r="54" ht="15.75" customHeight="1" s="49">
      <c r="A54" s="43" t="n">
        <v>50</v>
      </c>
      <c r="B54" s="31" t="n">
        <v>46197</v>
      </c>
      <c r="C54" s="43" t="inlineStr">
        <is>
          <t>19:00</t>
        </is>
      </c>
      <c r="D54" s="48" t="inlineStr">
        <is>
          <t>Marrocos x Haiti</t>
        </is>
      </c>
      <c r="E54" s="44" t="n">
        <v>46057</v>
      </c>
      <c r="F54" s="42" t="n"/>
      <c r="G54" s="42" t="n"/>
      <c r="H54" s="42" t="n"/>
      <c r="I54" s="42" t="n"/>
      <c r="J54" s="42" t="n"/>
      <c r="K54" s="42">
        <f>IF(COUNT(F54:J54)&lt;5,"",ROUND((F54*Quesitos!$B$3+G54*Quesitos!$B$4+H54*Quesitos!$B$5+I54*Quesitos!$B$6+J54*Quesitos!$B$7)/SUM(Quesitos!$B$3:$B$7),2))</f>
        <v/>
      </c>
    </row>
    <row r="55" ht="15.75" customHeight="1" s="49">
      <c r="A55" s="45" t="n">
        <v>53</v>
      </c>
      <c r="B55" s="23" t="n">
        <v>46197</v>
      </c>
      <c r="C55" s="45" t="inlineStr">
        <is>
          <t>22:00</t>
        </is>
      </c>
      <c r="D55" s="47" t="inlineStr">
        <is>
          <t>Tchéquia x México</t>
        </is>
      </c>
      <c r="E55" s="45" t="inlineStr">
        <is>
          <t>0-3</t>
        </is>
      </c>
      <c r="F55" s="41" t="n"/>
      <c r="G55" s="41" t="n"/>
      <c r="H55" s="41" t="n"/>
      <c r="I55" s="41" t="n"/>
      <c r="J55" s="41" t="n"/>
      <c r="K55" s="41">
        <f>IF(COUNT(F55:J55)&lt;5,"",ROUND((F55*Quesitos!$B$3+G55*Quesitos!$B$4+H55*Quesitos!$B$5+I55*Quesitos!$B$6+J55*Quesitos!$B$7)/SUM(Quesitos!$B$3:$B$7),2))</f>
        <v/>
      </c>
    </row>
    <row r="56" ht="15.75" customHeight="1" s="49">
      <c r="A56" s="43" t="n">
        <v>54</v>
      </c>
      <c r="B56" s="31" t="n">
        <v>46197</v>
      </c>
      <c r="C56" s="43" t="inlineStr">
        <is>
          <t>22:00</t>
        </is>
      </c>
      <c r="D56" s="48" t="inlineStr">
        <is>
          <t>África do Sul x Coreia do Sul</t>
        </is>
      </c>
      <c r="E56" s="43" t="inlineStr">
        <is>
          <t>1-0</t>
        </is>
      </c>
      <c r="F56" s="42" t="n"/>
      <c r="G56" s="42" t="n"/>
      <c r="H56" s="42" t="n"/>
      <c r="I56" s="42" t="n"/>
      <c r="J56" s="42" t="n"/>
      <c r="K56" s="42">
        <f>IF(COUNT(F56:J56)&lt;5,"",ROUND((F56*Quesitos!$B$3+G56*Quesitos!$B$4+H56*Quesitos!$B$5+I56*Quesitos!$B$6+J56*Quesitos!$B$7)/SUM(Quesitos!$B$3:$B$7),2))</f>
        <v/>
      </c>
    </row>
    <row r="57" ht="15.75" customHeight="1" s="49">
      <c r="A57" s="45" t="n">
        <v>55</v>
      </c>
      <c r="B57" s="23" t="n">
        <v>46198</v>
      </c>
      <c r="C57" s="45" t="inlineStr">
        <is>
          <t>17:00</t>
        </is>
      </c>
      <c r="D57" s="47" t="inlineStr">
        <is>
          <t>Curaçao x Costa do Marfim</t>
        </is>
      </c>
      <c r="E57" s="45" t="inlineStr">
        <is>
          <t>0-2</t>
        </is>
      </c>
      <c r="F57" s="41" t="n"/>
      <c r="G57" s="41" t="n"/>
      <c r="H57" s="41" t="n"/>
      <c r="I57" s="41" t="n"/>
      <c r="J57" s="41" t="n"/>
      <c r="K57" s="41">
        <f>IF(COUNT(F57:J57)&lt;5,"",ROUND((F57*Quesitos!$B$3+G57*Quesitos!$B$4+H57*Quesitos!$B$5+I57*Quesitos!$B$6+J57*Quesitos!$B$7)/SUM(Quesitos!$B$3:$B$7),2))</f>
        <v/>
      </c>
    </row>
    <row r="58" ht="15.75" customHeight="1" s="49">
      <c r="A58" s="43" t="n">
        <v>56</v>
      </c>
      <c r="B58" s="31" t="n">
        <v>46198</v>
      </c>
      <c r="C58" s="43" t="inlineStr">
        <is>
          <t>17:00</t>
        </is>
      </c>
      <c r="D58" s="48" t="inlineStr">
        <is>
          <t>Equador x Alemanha</t>
        </is>
      </c>
      <c r="E58" s="44" t="n">
        <v>46024</v>
      </c>
      <c r="F58" s="42" t="n"/>
      <c r="G58" s="42" t="n"/>
      <c r="H58" s="42" t="n"/>
      <c r="I58" s="42" t="n"/>
      <c r="J58" s="42" t="n"/>
      <c r="K58" s="42">
        <f>IF(COUNT(F58:J58)&lt;5,"",ROUND((F58*Quesitos!$B$3+G58*Quesitos!$B$4+H58*Quesitos!$B$5+I58*Quesitos!$B$6+J58*Quesitos!$B$7)/SUM(Quesitos!$B$3:$B$7),2))</f>
        <v/>
      </c>
    </row>
    <row r="59" ht="15.75" customHeight="1" s="49">
      <c r="A59" s="45" t="n">
        <v>57</v>
      </c>
      <c r="B59" s="23" t="n">
        <v>46198</v>
      </c>
      <c r="C59" s="45" t="inlineStr">
        <is>
          <t>20:00</t>
        </is>
      </c>
      <c r="D59" s="47" t="inlineStr">
        <is>
          <t>Japão x Suécia</t>
        </is>
      </c>
      <c r="E59" s="46" t="n">
        <v>46023</v>
      </c>
      <c r="F59" s="41" t="n"/>
      <c r="G59" s="41" t="n"/>
      <c r="H59" s="41" t="n"/>
      <c r="I59" s="41" t="n"/>
      <c r="J59" s="41" t="n"/>
      <c r="K59" s="41">
        <f>IF(COUNT(F59:J59)&lt;5,"",ROUND((F59*Quesitos!$B$3+G59*Quesitos!$B$4+H59*Quesitos!$B$5+I59*Quesitos!$B$6+J59*Quesitos!$B$7)/SUM(Quesitos!$B$3:$B$7),2))</f>
        <v/>
      </c>
    </row>
    <row r="60" ht="15.75" customHeight="1" s="49">
      <c r="A60" s="43" t="n">
        <v>58</v>
      </c>
      <c r="B60" s="31" t="n">
        <v>46198</v>
      </c>
      <c r="C60" s="43" t="inlineStr">
        <is>
          <t>20:00</t>
        </is>
      </c>
      <c r="D60" s="48" t="inlineStr">
        <is>
          <t>Tunísia x Países Baixos</t>
        </is>
      </c>
      <c r="E60" s="44" t="n">
        <v>46082</v>
      </c>
      <c r="F60" s="42" t="n"/>
      <c r="G60" s="42" t="n"/>
      <c r="H60" s="42" t="n"/>
      <c r="I60" s="42" t="n"/>
      <c r="J60" s="42" t="n"/>
      <c r="K60" s="42">
        <f>IF(COUNT(F60:J60)&lt;5,"",ROUND((F60*Quesitos!$B$3+G60*Quesitos!$B$4+H60*Quesitos!$B$5+I60*Quesitos!$B$6+J60*Quesitos!$B$7)/SUM(Quesitos!$B$3:$B$7),2))</f>
        <v/>
      </c>
    </row>
    <row r="61" ht="15.75" customHeight="1" s="49">
      <c r="A61" s="45" t="n">
        <v>59</v>
      </c>
      <c r="B61" s="23" t="n">
        <v>46198</v>
      </c>
      <c r="C61" s="45" t="inlineStr">
        <is>
          <t>23:00</t>
        </is>
      </c>
      <c r="D61" s="47" t="inlineStr">
        <is>
          <t>Turquia x Estados Unidos</t>
        </is>
      </c>
      <c r="E61" s="46" t="n">
        <v>46056</v>
      </c>
      <c r="F61" s="41" t="n"/>
      <c r="G61" s="41" t="n"/>
      <c r="H61" s="41" t="n"/>
      <c r="I61" s="41" t="n"/>
      <c r="J61" s="41" t="n"/>
      <c r="K61" s="41">
        <f>IF(COUNT(F61:J61)&lt;5,"",ROUND((F61*Quesitos!$B$3+G61*Quesitos!$B$4+H61*Quesitos!$B$5+I61*Quesitos!$B$6+J61*Quesitos!$B$7)/SUM(Quesitos!$B$3:$B$7),2))</f>
        <v/>
      </c>
    </row>
    <row r="62" ht="15.75" customHeight="1" s="49">
      <c r="A62" s="43" t="n">
        <v>60</v>
      </c>
      <c r="B62" s="31" t="n">
        <v>46198</v>
      </c>
      <c r="C62" s="43" t="inlineStr">
        <is>
          <t>23:00</t>
        </is>
      </c>
      <c r="D62" s="48" t="inlineStr">
        <is>
          <t>Paraguai x Austrália</t>
        </is>
      </c>
      <c r="E62" s="43" t="inlineStr">
        <is>
          <t>0-0</t>
        </is>
      </c>
      <c r="F62" s="42" t="n"/>
      <c r="G62" s="42" t="n"/>
      <c r="H62" s="42" t="n"/>
      <c r="I62" s="42" t="n"/>
      <c r="J62" s="42" t="n"/>
      <c r="K62" s="42">
        <f>IF(COUNT(F62:J62)&lt;5,"",ROUND((F62*Quesitos!$B$3+G62*Quesitos!$B$4+H62*Quesitos!$B$5+I62*Quesitos!$B$6+J62*Quesitos!$B$7)/SUM(Quesitos!$B$3:$B$7),2))</f>
        <v/>
      </c>
    </row>
    <row r="63" ht="15.75" customHeight="1" s="49">
      <c r="A63" s="45" t="n">
        <v>61</v>
      </c>
      <c r="B63" s="23" t="n">
        <v>46199</v>
      </c>
      <c r="C63" s="45" t="inlineStr">
        <is>
          <t>16:00</t>
        </is>
      </c>
      <c r="D63" s="47" t="inlineStr">
        <is>
          <t>Noruega x França</t>
        </is>
      </c>
      <c r="E63" s="46" t="n">
        <v>46113</v>
      </c>
      <c r="F63" s="41" t="n"/>
      <c r="G63" s="41" t="n"/>
      <c r="H63" s="41" t="n"/>
      <c r="I63" s="41" t="n"/>
      <c r="J63" s="41" t="n"/>
      <c r="K63" s="41">
        <f>IF(COUNT(F63:J63)&lt;5,"",ROUND((F63*Quesitos!$B$3+G63*Quesitos!$B$4+H63*Quesitos!$B$5+I63*Quesitos!$B$6+J63*Quesitos!$B$7)/SUM(Quesitos!$B$3:$B$7),2))</f>
        <v/>
      </c>
    </row>
    <row r="64" ht="15.75" customHeight="1" s="49">
      <c r="A64" s="43" t="n">
        <v>62</v>
      </c>
      <c r="B64" s="31" t="n">
        <v>46199</v>
      </c>
      <c r="C64" s="43" t="inlineStr">
        <is>
          <t>16:00</t>
        </is>
      </c>
      <c r="D64" s="48" t="inlineStr">
        <is>
          <t>Senegal x Iraque</t>
        </is>
      </c>
      <c r="E64" s="43" t="inlineStr">
        <is>
          <t>5-0</t>
        </is>
      </c>
      <c r="F64" s="42" t="n"/>
      <c r="G64" s="42" t="n"/>
      <c r="H64" s="42" t="n"/>
      <c r="I64" s="42" t="n"/>
      <c r="J64" s="42" t="n"/>
      <c r="K64" s="42">
        <f>IF(COUNT(F64:J64)&lt;5,"",ROUND((F64*Quesitos!$B$3+G64*Quesitos!$B$4+H64*Quesitos!$B$5+I64*Quesitos!$B$6+J64*Quesitos!$B$7)/SUM(Quesitos!$B$3:$B$7),2))</f>
        <v/>
      </c>
    </row>
    <row r="65" ht="15.75" customHeight="1" s="49">
      <c r="A65" s="45" t="n">
        <v>65</v>
      </c>
      <c r="B65" s="23" t="n">
        <v>46199</v>
      </c>
      <c r="C65" s="45" t="inlineStr">
        <is>
          <t>21:00</t>
        </is>
      </c>
      <c r="D65" s="47" t="inlineStr">
        <is>
          <t>Cabo Verde x Arábia Saudita</t>
        </is>
      </c>
      <c r="E65" s="45" t="inlineStr">
        <is>
          <t>0-0</t>
        </is>
      </c>
      <c r="F65" s="41" t="n"/>
      <c r="G65" s="41" t="n"/>
      <c r="H65" s="41" t="n"/>
      <c r="I65" s="41" t="n"/>
      <c r="J65" s="41" t="n"/>
      <c r="K65" s="41">
        <f>IF(COUNT(F65:J65)&lt;5,"",ROUND((F65*Quesitos!$B$3+G65*Quesitos!$B$4+H65*Quesitos!$B$5+I65*Quesitos!$B$6+J65*Quesitos!$B$7)/SUM(Quesitos!$B$3:$B$7),2))</f>
        <v/>
      </c>
    </row>
    <row r="66" ht="15.75" customHeight="1" s="49">
      <c r="A66" s="43" t="n">
        <v>66</v>
      </c>
      <c r="B66" s="31" t="n">
        <v>46199</v>
      </c>
      <c r="C66" s="43" t="inlineStr">
        <is>
          <t>21:00</t>
        </is>
      </c>
      <c r="D66" s="48" t="inlineStr">
        <is>
          <t>Uruguai x Espanha</t>
        </is>
      </c>
      <c r="E66" s="43" t="inlineStr">
        <is>
          <t>0-1</t>
        </is>
      </c>
      <c r="F66" s="42" t="n"/>
      <c r="G66" s="42" t="n"/>
      <c r="H66" s="42" t="n"/>
      <c r="I66" s="42" t="n"/>
      <c r="J66" s="42" t="n"/>
      <c r="K66" s="42">
        <f>IF(COUNT(F66:J66)&lt;5,"",ROUND((F66*Quesitos!$B$3+G66*Quesitos!$B$4+H66*Quesitos!$B$5+I66*Quesitos!$B$6+J66*Quesitos!$B$7)/SUM(Quesitos!$B$3:$B$7),2))</f>
        <v/>
      </c>
    </row>
    <row r="67" ht="15.75" customHeight="1" s="49">
      <c r="A67" s="45" t="n">
        <v>63</v>
      </c>
      <c r="B67" s="23" t="n">
        <v>46200</v>
      </c>
      <c r="C67" s="45" t="inlineStr">
        <is>
          <t>00:00</t>
        </is>
      </c>
      <c r="D67" s="47" t="inlineStr">
        <is>
          <t>Egito x Irã</t>
        </is>
      </c>
      <c r="E67" s="46" t="n">
        <v>46023</v>
      </c>
      <c r="F67" s="41" t="n"/>
      <c r="G67" s="41" t="n"/>
      <c r="H67" s="41" t="n"/>
      <c r="I67" s="41" t="n"/>
      <c r="J67" s="41" t="n"/>
      <c r="K67" s="41">
        <f>IF(COUNT(F67:J67)&lt;5,"",ROUND((F67*Quesitos!$B$3+G67*Quesitos!$B$4+H67*Quesitos!$B$5+I67*Quesitos!$B$6+J67*Quesitos!$B$7)/SUM(Quesitos!$B$3:$B$7),2))</f>
        <v/>
      </c>
    </row>
    <row r="68" ht="15.75" customHeight="1" s="49">
      <c r="A68" s="43" t="n">
        <v>64</v>
      </c>
      <c r="B68" s="31" t="n">
        <v>46200</v>
      </c>
      <c r="C68" s="43" t="inlineStr">
        <is>
          <t>00:00</t>
        </is>
      </c>
      <c r="D68" s="48" t="inlineStr">
        <is>
          <t>Nova Zelândia x Bélgica</t>
        </is>
      </c>
      <c r="E68" s="44" t="n">
        <v>46143</v>
      </c>
      <c r="F68" s="42" t="n"/>
      <c r="G68" s="42" t="n"/>
      <c r="H68" s="42" t="n"/>
      <c r="I68" s="42" t="n"/>
      <c r="J68" s="42" t="n"/>
      <c r="K68" s="42">
        <f>IF(COUNT(F68:J68)&lt;5,"",ROUND((F68*Quesitos!$B$3+G68*Quesitos!$B$4+H68*Quesitos!$B$5+I68*Quesitos!$B$6+J68*Quesitos!$B$7)/SUM(Quesitos!$B$3:$B$7),2))</f>
        <v/>
      </c>
    </row>
    <row r="69" ht="15.75" customHeight="1" s="49">
      <c r="A69" s="45" t="n">
        <v>67</v>
      </c>
      <c r="B69" s="23" t="n">
        <v>46200</v>
      </c>
      <c r="C69" s="45" t="inlineStr">
        <is>
          <t>18:00</t>
        </is>
      </c>
      <c r="D69" s="47" t="inlineStr">
        <is>
          <t>Panamá x Inglaterra</t>
        </is>
      </c>
      <c r="E69" s="45" t="inlineStr">
        <is>
          <t>0-2</t>
        </is>
      </c>
      <c r="F69" s="41" t="n"/>
      <c r="G69" s="41" t="n"/>
      <c r="H69" s="41" t="n"/>
      <c r="I69" s="41" t="n"/>
      <c r="J69" s="41" t="n"/>
      <c r="K69" s="41">
        <f>IF(COUNT(F69:J69)&lt;5,"",ROUND((F69*Quesitos!$B$3+G69*Quesitos!$B$4+H69*Quesitos!$B$5+I69*Quesitos!$B$6+J69*Quesitos!$B$7)/SUM(Quesitos!$B$3:$B$7),2))</f>
        <v/>
      </c>
    </row>
    <row r="70" ht="15.75" customHeight="1" s="49">
      <c r="A70" s="43" t="n">
        <v>68</v>
      </c>
      <c r="B70" s="31" t="n">
        <v>46200</v>
      </c>
      <c r="C70" s="43" t="inlineStr">
        <is>
          <t>18:00</t>
        </is>
      </c>
      <c r="D70" s="48" t="inlineStr">
        <is>
          <t>Croácia x Gana</t>
        </is>
      </c>
      <c r="E70" s="44" t="n">
        <v>46024</v>
      </c>
      <c r="F70" s="42" t="n"/>
      <c r="G70" s="42" t="n"/>
      <c r="H70" s="42" t="n"/>
      <c r="I70" s="42" t="n"/>
      <c r="J70" s="42" t="n"/>
      <c r="K70" s="42">
        <f>IF(COUNT(F70:J70)&lt;5,"",ROUND((F70*Quesitos!$B$3+G70*Quesitos!$B$4+H70*Quesitos!$B$5+I70*Quesitos!$B$6+J70*Quesitos!$B$7)/SUM(Quesitos!$B$3:$B$7),2))</f>
        <v/>
      </c>
    </row>
    <row r="71" ht="15.75" customHeight="1" s="49">
      <c r="A71" s="45" t="n">
        <v>71</v>
      </c>
      <c r="B71" s="23" t="n">
        <v>46200</v>
      </c>
      <c r="C71" s="45" t="inlineStr">
        <is>
          <t>20:30</t>
        </is>
      </c>
      <c r="D71" s="47" t="inlineStr">
        <is>
          <t>Colômbia x Portugal</t>
        </is>
      </c>
      <c r="E71" s="45" t="inlineStr">
        <is>
          <t>0-0</t>
        </is>
      </c>
      <c r="F71" s="41" t="n"/>
      <c r="G71" s="41" t="n"/>
      <c r="H71" s="41" t="n"/>
      <c r="I71" s="41" t="n"/>
      <c r="J71" s="41" t="n"/>
      <c r="K71" s="41">
        <f>IF(COUNT(F71:J71)&lt;5,"",ROUND((F71*Quesitos!$B$3+G71*Quesitos!$B$4+H71*Quesitos!$B$5+I71*Quesitos!$B$6+J71*Quesitos!$B$7)/SUM(Quesitos!$B$3:$B$7),2))</f>
        <v/>
      </c>
    </row>
    <row r="72" ht="15.75" customHeight="1" s="49">
      <c r="A72" s="43" t="n">
        <v>72</v>
      </c>
      <c r="B72" s="31" t="n">
        <v>46200</v>
      </c>
      <c r="C72" s="43" t="inlineStr">
        <is>
          <t>20:30</t>
        </is>
      </c>
      <c r="D72" s="48" t="inlineStr">
        <is>
          <t>RD Congo x Uzbequistão</t>
        </is>
      </c>
      <c r="E72" s="44" t="n">
        <v>46025</v>
      </c>
      <c r="F72" s="42" t="n"/>
      <c r="G72" s="42" t="n"/>
      <c r="H72" s="42" t="n"/>
      <c r="I72" s="42" t="n"/>
      <c r="J72" s="42" t="n"/>
      <c r="K72" s="42">
        <f>IF(COUNT(F72:J72)&lt;5,"",ROUND((F72*Quesitos!$B$3+G72*Quesitos!$B$4+H72*Quesitos!$B$5+I72*Quesitos!$B$6+J72*Quesitos!$B$7)/SUM(Quesitos!$B$3:$B$7),2))</f>
        <v/>
      </c>
    </row>
    <row r="73" ht="15.75" customHeight="1" s="49">
      <c r="A73" s="45" t="n">
        <v>69</v>
      </c>
      <c r="B73" s="23" t="n">
        <v>46200</v>
      </c>
      <c r="C73" s="45" t="inlineStr">
        <is>
          <t>23:00</t>
        </is>
      </c>
      <c r="D73" s="47" t="inlineStr">
        <is>
          <t>Argélia x Áustria</t>
        </is>
      </c>
      <c r="E73" s="46" t="n">
        <v>46084</v>
      </c>
      <c r="F73" s="41" t="n"/>
      <c r="G73" s="41" t="n"/>
      <c r="H73" s="41" t="n"/>
      <c r="I73" s="41" t="n"/>
      <c r="J73" s="41" t="n"/>
      <c r="K73" s="41">
        <f>IF(COUNT(F73:J73)&lt;5,"",ROUND((F73*Quesitos!$B$3+G73*Quesitos!$B$4+H73*Quesitos!$B$5+I73*Quesitos!$B$6+J73*Quesitos!$B$7)/SUM(Quesitos!$B$3:$B$7),2))</f>
        <v/>
      </c>
    </row>
    <row r="74" ht="15.75" customHeight="1" s="49">
      <c r="A74" s="43" t="n">
        <v>70</v>
      </c>
      <c r="B74" s="31" t="n">
        <v>46200</v>
      </c>
      <c r="C74" s="43" t="inlineStr">
        <is>
          <t>23:00</t>
        </is>
      </c>
      <c r="D74" s="48" t="inlineStr">
        <is>
          <t>Jordânia x Argentina</t>
        </is>
      </c>
      <c r="E74" s="44" t="n">
        <v>46082</v>
      </c>
      <c r="F74" s="42" t="n"/>
      <c r="G74" s="42" t="n"/>
      <c r="H74" s="42" t="n"/>
      <c r="I74" s="42" t="n"/>
      <c r="J74" s="42" t="n"/>
      <c r="K74" s="42">
        <f>IF(COUNT(F74:J74)&lt;5,"",ROUND((F74*Quesitos!$B$3+G74*Quesitos!$B$4+H74*Quesitos!$B$5+I74*Quesitos!$B$6+J74*Quesitos!$B$7)/SUM(Quesitos!$B$3:$B$7),2))</f>
        <v/>
      </c>
    </row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">
    <mergeCell ref="A1:K1"/>
  </mergeCells>
  <conditionalFormatting sqref="F3:K74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2">
    <dataValidation sqref="F9:J74" showDropDown="0" showInputMessage="1" showErrorMessage="0" allowBlank="1" prompt="Nota - Digite uma nota de 0 a 10." type="decimal">
      <formula1>0.0</formula1>
      <formula2>10.0</formula2>
    </dataValidation>
    <dataValidation sqref="F3:J8" showDropDown="0" showInputMessage="0" showErrorMessage="0" allowBlank="1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9" min="1" max="2"/>
    <col width="11" customWidth="1" style="49" min="3" max="3"/>
    <col width="38" customWidth="1" style="49" min="4" max="4"/>
    <col width="10" customWidth="1" style="49" min="5" max="5"/>
    <col width="12" customWidth="1" style="49" min="6" max="9"/>
    <col width="20" customWidth="1" style="49" min="10" max="10"/>
    <col width="12" customWidth="1" style="49" min="11" max="11"/>
    <col width="8.630000000000001" customWidth="1" style="49" min="12" max="26"/>
  </cols>
  <sheetData>
    <row r="1" ht="27.75" customHeight="1" s="49">
      <c r="A1" s="20" t="inlineStr">
        <is>
          <t>32 avos</t>
        </is>
      </c>
    </row>
    <row r="2" ht="36" customHeight="1" s="49">
      <c r="A2" s="21" t="inlineStr">
        <is>
          <t>Número da partida</t>
        </is>
      </c>
      <c r="B2" s="21" t="inlineStr">
        <is>
          <t>Data</t>
        </is>
      </c>
      <c r="C2" s="21" t="inlineStr">
        <is>
          <t>Hora (BRT)</t>
        </is>
      </c>
      <c r="D2" s="21" t="inlineStr">
        <is>
          <t>Partida</t>
        </is>
      </c>
      <c r="E2" s="21" t="inlineStr">
        <is>
          <t>Placar</t>
        </is>
      </c>
      <c r="F2" s="21" t="inlineStr">
        <is>
          <t>1º tempo</t>
        </is>
      </c>
      <c r="G2" s="21" t="inlineStr">
        <is>
          <t>2º tempo</t>
        </is>
      </c>
      <c r="H2" s="21" t="inlineStr">
        <is>
          <t>Lá e cá</t>
        </is>
      </c>
      <c r="I2" s="21" t="inlineStr">
        <is>
          <t>Emoção</t>
        </is>
      </c>
      <c r="J2" s="21" t="inlineStr">
        <is>
          <t>Componente histórico</t>
        </is>
      </c>
      <c r="K2" s="21" t="inlineStr">
        <is>
          <t>Nota final</t>
        </is>
      </c>
    </row>
    <row r="3">
      <c r="A3" s="45" t="n">
        <v>73</v>
      </c>
      <c r="B3" s="23" t="n">
        <v>46201</v>
      </c>
      <c r="C3" s="45" t="inlineStr">
        <is>
          <t>16:00</t>
        </is>
      </c>
      <c r="D3" s="47" t="inlineStr">
        <is>
          <t>África do Sul x Canadá</t>
        </is>
      </c>
      <c r="E3" s="45" t="inlineStr">
        <is>
          <t>0-1</t>
        </is>
      </c>
      <c r="F3" s="41" t="n"/>
      <c r="G3" s="41" t="n"/>
      <c r="H3" s="41" t="n"/>
      <c r="I3" s="41" t="n"/>
      <c r="J3" s="41" t="n"/>
      <c r="K3" s="41">
        <f>IF(COUNT(F3:J3)&lt;5,"",ROUND((F3*Quesitos!$B$3+G3*Quesitos!$B$4+H3*Quesitos!$B$5+I3*Quesitos!$B$6+J3*Quesitos!$B$7)/SUM(Quesitos!$B$3:$B$7),2))</f>
        <v/>
      </c>
    </row>
    <row r="4">
      <c r="A4" s="43" t="n">
        <v>76</v>
      </c>
      <c r="B4" s="31" t="n">
        <v>46202</v>
      </c>
      <c r="C4" s="43" t="inlineStr">
        <is>
          <t>14:00</t>
        </is>
      </c>
      <c r="D4" s="48" t="inlineStr">
        <is>
          <t>Brasil x Japão</t>
        </is>
      </c>
      <c r="E4" s="44" t="n">
        <v>46024</v>
      </c>
      <c r="F4" s="42" t="n"/>
      <c r="G4" s="42" t="n"/>
      <c r="H4" s="42" t="n"/>
      <c r="I4" s="42" t="n"/>
      <c r="J4" s="42" t="n"/>
      <c r="K4" s="42">
        <f>IF(COUNT(F4:J4)&lt;5,"",ROUND((F4*Quesitos!$B$3+G4*Quesitos!$B$4+H4*Quesitos!$B$5+I4*Quesitos!$B$6+J4*Quesitos!$B$7)/SUM(Quesitos!$B$3:$B$7),2))</f>
        <v/>
      </c>
    </row>
    <row r="5">
      <c r="A5" s="45" t="n">
        <v>74</v>
      </c>
      <c r="B5" s="23" t="n">
        <v>46202</v>
      </c>
      <c r="C5" s="45" t="inlineStr">
        <is>
          <t>17:30</t>
        </is>
      </c>
      <c r="D5" s="47" t="inlineStr">
        <is>
          <t>Alemanha x Paraguai</t>
        </is>
      </c>
      <c r="E5" s="45" t="inlineStr">
        <is>
          <t>(3)1-1(4)</t>
        </is>
      </c>
      <c r="F5" s="41" t="n"/>
      <c r="G5" s="41" t="n"/>
      <c r="H5" s="41" t="n"/>
      <c r="I5" s="41" t="n"/>
      <c r="J5" s="41" t="n"/>
      <c r="K5" s="41">
        <f>IF(COUNT(F5:J5)&lt;5,"",ROUND((F5*Quesitos!$B$3+G5*Quesitos!$B$4+H5*Quesitos!$B$5+I5*Quesitos!$B$6+J5*Quesitos!$B$7)/SUM(Quesitos!$B$3:$B$7),2))</f>
        <v/>
      </c>
    </row>
    <row r="6">
      <c r="A6" s="43" t="n">
        <v>75</v>
      </c>
      <c r="B6" s="31" t="n">
        <v>46202</v>
      </c>
      <c r="C6" s="43" t="inlineStr">
        <is>
          <t>22:00</t>
        </is>
      </c>
      <c r="D6" s="48" t="inlineStr">
        <is>
          <t>Holanda x Marrocos</t>
        </is>
      </c>
      <c r="E6" s="43" t="inlineStr">
        <is>
          <t>(2)1-1(3)</t>
        </is>
      </c>
      <c r="F6" s="42" t="n"/>
      <c r="G6" s="42" t="n"/>
      <c r="H6" s="42" t="n"/>
      <c r="I6" s="42" t="n"/>
      <c r="J6" s="42" t="n"/>
      <c r="K6" s="42">
        <f>IF(COUNT(F6:J6)&lt;5,"",ROUND((F6*Quesitos!$B$3+G6*Quesitos!$B$4+H6*Quesitos!$B$5+I6*Quesitos!$B$6+J6*Quesitos!$B$7)/SUM(Quesitos!$B$3:$B$7),2))</f>
        <v/>
      </c>
    </row>
    <row r="7">
      <c r="A7" s="45" t="n">
        <v>78</v>
      </c>
      <c r="B7" s="23" t="n">
        <v>46203</v>
      </c>
      <c r="C7" s="45" t="inlineStr">
        <is>
          <t>14:00</t>
        </is>
      </c>
      <c r="D7" s="47" t="inlineStr">
        <is>
          <t>Costa do Marfim x Noruega</t>
        </is>
      </c>
      <c r="E7" s="46" t="n">
        <v>46054</v>
      </c>
      <c r="F7" s="41" t="n"/>
      <c r="G7" s="41" t="n"/>
      <c r="H7" s="41" t="n"/>
      <c r="I7" s="41" t="n"/>
      <c r="J7" s="41" t="n"/>
      <c r="K7" s="41">
        <f>IF(COUNT(F7:J7)&lt;5,"",ROUND((F7*Quesitos!$B$3+G7*Quesitos!$B$4+H7*Quesitos!$B$5+I7*Quesitos!$B$6+J7*Quesitos!$B$7)/SUM(Quesitos!$B$3:$B$7),2))</f>
        <v/>
      </c>
    </row>
    <row r="8">
      <c r="A8" s="43" t="n">
        <v>77</v>
      </c>
      <c r="B8" s="31" t="n">
        <v>46203</v>
      </c>
      <c r="C8" s="43" t="inlineStr">
        <is>
          <t>18:00</t>
        </is>
      </c>
      <c r="D8" s="48" t="inlineStr">
        <is>
          <t>França x Suécia</t>
        </is>
      </c>
      <c r="E8" s="43" t="inlineStr">
        <is>
          <t>3-0</t>
        </is>
      </c>
      <c r="F8" s="42" t="n"/>
      <c r="G8" s="42" t="n"/>
      <c r="H8" s="42" t="n"/>
      <c r="I8" s="42" t="n"/>
      <c r="J8" s="42" t="n"/>
      <c r="K8" s="42">
        <f>IF(COUNT(F8:J8)&lt;5,"",ROUND((F8*Quesitos!$B$3+G8*Quesitos!$B$4+H8*Quesitos!$B$5+I8*Quesitos!$B$6+J8*Quesitos!$B$7)/SUM(Quesitos!$B$3:$B$7),2))</f>
        <v/>
      </c>
    </row>
    <row r="9">
      <c r="A9" s="45" t="n">
        <v>79</v>
      </c>
      <c r="B9" s="23" t="n">
        <v>46203</v>
      </c>
      <c r="C9" s="45" t="inlineStr">
        <is>
          <t>22:00</t>
        </is>
      </c>
      <c r="D9" s="47" t="inlineStr">
        <is>
          <t>México x Equador</t>
        </is>
      </c>
      <c r="E9" s="45" t="inlineStr">
        <is>
          <t>2-0</t>
        </is>
      </c>
      <c r="F9" s="41" t="n"/>
      <c r="G9" s="41" t="n"/>
      <c r="H9" s="41" t="n"/>
      <c r="I9" s="41" t="n"/>
      <c r="J9" s="41" t="n"/>
      <c r="K9" s="41">
        <f>IF(COUNT(F9:J9)&lt;5,"",ROUND((F9*Quesitos!$B$3+G9*Quesitos!$B$4+H9*Quesitos!$B$5+I9*Quesitos!$B$6+J9*Quesitos!$B$7)/SUM(Quesitos!$B$3:$B$7),2))</f>
        <v/>
      </c>
    </row>
    <row r="10">
      <c r="A10" s="43" t="n">
        <v>80</v>
      </c>
      <c r="B10" s="31" t="n">
        <v>46204</v>
      </c>
      <c r="C10" s="43" t="inlineStr">
        <is>
          <t>13:00</t>
        </is>
      </c>
      <c r="D10" s="48" t="inlineStr">
        <is>
          <t>Inglaterra x RD Congo</t>
        </is>
      </c>
      <c r="E10" s="44" t="n">
        <v>46024</v>
      </c>
      <c r="F10" s="42" t="n"/>
      <c r="G10" s="42" t="n"/>
      <c r="H10" s="42" t="n"/>
      <c r="I10" s="42" t="n"/>
      <c r="J10" s="42" t="n"/>
      <c r="K10" s="42">
        <f>IF(COUNT(F10:J10)&lt;5,"",ROUND((F10*Quesitos!$B$3+G10*Quesitos!$B$4+H10*Quesitos!$B$5+I10*Quesitos!$B$6+J10*Quesitos!$B$7)/SUM(Quesitos!$B$3:$B$7),2))</f>
        <v/>
      </c>
    </row>
    <row r="11">
      <c r="A11" s="45" t="n">
        <v>82</v>
      </c>
      <c r="B11" s="23" t="n">
        <v>46204</v>
      </c>
      <c r="C11" s="45" t="inlineStr">
        <is>
          <t>17:00</t>
        </is>
      </c>
      <c r="D11" s="47" t="inlineStr">
        <is>
          <t>Bélgica x Senegal</t>
        </is>
      </c>
      <c r="E11" s="46" t="n">
        <v>46056</v>
      </c>
      <c r="F11" s="41" t="n"/>
      <c r="G11" s="41" t="n"/>
      <c r="H11" s="41" t="n"/>
      <c r="I11" s="41" t="n"/>
      <c r="J11" s="41" t="n"/>
      <c r="K11" s="41">
        <f>IF(COUNT(F11:J11)&lt;5,"",ROUND((F11*Quesitos!$B$3+G11*Quesitos!$B$4+H11*Quesitos!$B$5+I11*Quesitos!$B$6+J11*Quesitos!$B$7)/SUM(Quesitos!$B$3:$B$7),2))</f>
        <v/>
      </c>
    </row>
    <row r="12">
      <c r="A12" s="43" t="n">
        <v>81</v>
      </c>
      <c r="B12" s="31" t="n">
        <v>46204</v>
      </c>
      <c r="C12" s="43" t="inlineStr">
        <is>
          <t>21:00</t>
        </is>
      </c>
      <c r="D12" s="48" t="inlineStr">
        <is>
          <t>Estados Unidos x Bósnia e Herzegovina</t>
        </is>
      </c>
      <c r="E12" s="43" t="inlineStr">
        <is>
          <t>2-0</t>
        </is>
      </c>
      <c r="F12" s="42" t="n"/>
      <c r="G12" s="42" t="n"/>
      <c r="H12" s="42" t="n"/>
      <c r="I12" s="42" t="n"/>
      <c r="J12" s="42" t="n"/>
      <c r="K12" s="42">
        <f>IF(COUNT(F12:J12)&lt;5,"",ROUND((F12*Quesitos!$B$3+G12*Quesitos!$B$4+H12*Quesitos!$B$5+I12*Quesitos!$B$6+J12*Quesitos!$B$7)/SUM(Quesitos!$B$3:$B$7),2))</f>
        <v/>
      </c>
    </row>
    <row r="13">
      <c r="A13" s="45" t="n">
        <v>84</v>
      </c>
      <c r="B13" s="23" t="n">
        <v>46205</v>
      </c>
      <c r="C13" s="45" t="inlineStr">
        <is>
          <t>16:00</t>
        </is>
      </c>
      <c r="D13" s="47" t="inlineStr">
        <is>
          <t>Espanha x Áustria</t>
        </is>
      </c>
      <c r="E13" s="45" t="inlineStr">
        <is>
          <t>3-0</t>
        </is>
      </c>
      <c r="F13" s="41" t="n"/>
      <c r="G13" s="41" t="n"/>
      <c r="H13" s="41" t="n"/>
      <c r="I13" s="41" t="n"/>
      <c r="J13" s="41" t="n"/>
      <c r="K13" s="41">
        <f>IF(COUNT(F13:J13)&lt;5,"",ROUND((F13*Quesitos!$B$3+G13*Quesitos!$B$4+H13*Quesitos!$B$5+I13*Quesitos!$B$6+J13*Quesitos!$B$7)/SUM(Quesitos!$B$3:$B$7),2))</f>
        <v/>
      </c>
    </row>
    <row r="14">
      <c r="A14" s="43" t="n">
        <v>83</v>
      </c>
      <c r="B14" s="31" t="n">
        <v>46205</v>
      </c>
      <c r="C14" s="43" t="inlineStr">
        <is>
          <t>20:00</t>
        </is>
      </c>
      <c r="D14" s="48" t="inlineStr">
        <is>
          <t>Portugal x Croácia</t>
        </is>
      </c>
      <c r="E14" s="44" t="n">
        <v>46024</v>
      </c>
      <c r="F14" s="42" t="n"/>
      <c r="G14" s="42" t="n"/>
      <c r="H14" s="42" t="n"/>
      <c r="I14" s="42" t="n"/>
      <c r="J14" s="42" t="n"/>
      <c r="K14" s="42">
        <f>IF(COUNT(F14:J14)&lt;5,"",ROUND((F14*Quesitos!$B$3+G14*Quesitos!$B$4+H14*Quesitos!$B$5+I14*Quesitos!$B$6+J14*Quesitos!$B$7)/SUM(Quesitos!$B$3:$B$7),2))</f>
        <v/>
      </c>
    </row>
    <row r="15">
      <c r="A15" s="45" t="n">
        <v>85</v>
      </c>
      <c r="B15" s="23" t="n">
        <v>46206</v>
      </c>
      <c r="C15" s="45" t="inlineStr">
        <is>
          <t>00:00</t>
        </is>
      </c>
      <c r="D15" s="47" t="inlineStr">
        <is>
          <t>Suíça x Argélia</t>
        </is>
      </c>
      <c r="E15" s="45" t="inlineStr">
        <is>
          <t>2-0</t>
        </is>
      </c>
      <c r="F15" s="41" t="n"/>
      <c r="G15" s="41" t="n"/>
      <c r="H15" s="41" t="n"/>
      <c r="I15" s="41" t="n"/>
      <c r="J15" s="41" t="n"/>
      <c r="K15" s="41">
        <f>IF(COUNT(F15:J15)&lt;5,"",ROUND((F15*Quesitos!$B$3+G15*Quesitos!$B$4+H15*Quesitos!$B$5+I15*Quesitos!$B$6+J15*Quesitos!$B$7)/SUM(Quesitos!$B$3:$B$7),2))</f>
        <v/>
      </c>
    </row>
    <row r="16">
      <c r="A16" s="43" t="n">
        <v>88</v>
      </c>
      <c r="B16" s="31" t="n">
        <v>46206</v>
      </c>
      <c r="C16" s="43" t="inlineStr">
        <is>
          <t>15:00</t>
        </is>
      </c>
      <c r="D16" s="48" t="inlineStr">
        <is>
          <t>Austrália x Egito</t>
        </is>
      </c>
      <c r="E16" s="43" t="inlineStr">
        <is>
          <t>(2)1-1(4)</t>
        </is>
      </c>
      <c r="F16" s="42" t="n"/>
      <c r="G16" s="42" t="n"/>
      <c r="H16" s="42" t="n"/>
      <c r="I16" s="42" t="n"/>
      <c r="J16" s="42" t="n"/>
      <c r="K16" s="42">
        <f>IF(COUNT(F16:J16)&lt;5,"",ROUND((F16*Quesitos!$B$3+G16*Quesitos!$B$4+H16*Quesitos!$B$5+I16*Quesitos!$B$6+J16*Quesitos!$B$7)/SUM(Quesitos!$B$3:$B$7),2))</f>
        <v/>
      </c>
    </row>
    <row r="17">
      <c r="A17" s="45" t="n">
        <v>86</v>
      </c>
      <c r="B17" s="23" t="n">
        <v>46206</v>
      </c>
      <c r="C17" s="45" t="inlineStr">
        <is>
          <t>19:00</t>
        </is>
      </c>
      <c r="D17" s="47" t="inlineStr">
        <is>
          <t>Argentina x Cabo Verde</t>
        </is>
      </c>
      <c r="E17" s="46" t="n">
        <v>46056</v>
      </c>
      <c r="F17" s="41" t="n"/>
      <c r="G17" s="41" t="n"/>
      <c r="H17" s="41" t="n"/>
      <c r="I17" s="41" t="n"/>
      <c r="J17" s="41" t="n"/>
      <c r="K17" s="41">
        <f>IF(COUNT(F17:J17)&lt;5,"",ROUND((F17*Quesitos!$B$3+G17*Quesitos!$B$4+H17*Quesitos!$B$5+I17*Quesitos!$B$6+J17*Quesitos!$B$7)/SUM(Quesitos!$B$3:$B$7),2))</f>
        <v/>
      </c>
    </row>
    <row r="18">
      <c r="A18" s="43" t="n">
        <v>87</v>
      </c>
      <c r="B18" s="31" t="n">
        <v>46206</v>
      </c>
      <c r="C18" s="43" t="inlineStr">
        <is>
          <t>22:30</t>
        </is>
      </c>
      <c r="D18" s="48" t="inlineStr">
        <is>
          <t>Colômbia x Gana</t>
        </is>
      </c>
      <c r="E18" s="43" t="inlineStr">
        <is>
          <t>1-0</t>
        </is>
      </c>
      <c r="F18" s="42" t="n"/>
      <c r="G18" s="42" t="n"/>
      <c r="H18" s="42" t="n"/>
      <c r="I18" s="42" t="n"/>
      <c r="J18" s="42" t="n"/>
      <c r="K18" s="42">
        <f>IF(COUNT(F18:J18)&lt;5,"",ROUND((F18*Quesitos!$B$3+G18*Quesitos!$B$4+H18*Quesitos!$B$5+I18*Quesitos!$B$6+J18*Quesitos!$B$7)/SUM(Quesitos!$B$3:$B$7),2))</f>
        <v/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">
    <mergeCell ref="A1:K1"/>
  </mergeCells>
  <conditionalFormatting sqref="F3:K18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18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9" min="1" max="2"/>
    <col width="11" customWidth="1" style="49" min="3" max="3"/>
    <col width="38" customWidth="1" style="49" min="4" max="4"/>
    <col width="10" customWidth="1" style="49" min="5" max="5"/>
    <col width="12" customWidth="1" style="49" min="6" max="9"/>
    <col width="20" customWidth="1" style="49" min="10" max="10"/>
    <col width="12" customWidth="1" style="49" min="11" max="11"/>
    <col width="8.630000000000001" customWidth="1" style="49" min="12" max="26"/>
  </cols>
  <sheetData>
    <row r="1" ht="27.75" customHeight="1" s="49">
      <c r="A1" s="20" t="inlineStr">
        <is>
          <t>Oitavas de final</t>
        </is>
      </c>
    </row>
    <row r="2" ht="36" customHeight="1" s="49">
      <c r="A2" s="21" t="inlineStr">
        <is>
          <t>Número da partida</t>
        </is>
      </c>
      <c r="B2" s="21" t="inlineStr">
        <is>
          <t>Data</t>
        </is>
      </c>
      <c r="C2" s="21" t="inlineStr">
        <is>
          <t>Hora (BRT)</t>
        </is>
      </c>
      <c r="D2" s="21" t="inlineStr">
        <is>
          <t>Partida</t>
        </is>
      </c>
      <c r="E2" s="21" t="inlineStr">
        <is>
          <t>Placar</t>
        </is>
      </c>
      <c r="F2" s="21" t="inlineStr">
        <is>
          <t>1º tempo</t>
        </is>
      </c>
      <c r="G2" s="21" t="inlineStr">
        <is>
          <t>2º tempo</t>
        </is>
      </c>
      <c r="H2" s="21" t="inlineStr">
        <is>
          <t>Lá e cá</t>
        </is>
      </c>
      <c r="I2" s="21" t="inlineStr">
        <is>
          <t>Emoção</t>
        </is>
      </c>
      <c r="J2" s="21" t="inlineStr">
        <is>
          <t>Componente histórico</t>
        </is>
      </c>
      <c r="K2" s="21" t="inlineStr">
        <is>
          <t>Nota final</t>
        </is>
      </c>
    </row>
    <row r="3">
      <c r="A3" s="45" t="n">
        <v>90</v>
      </c>
      <c r="B3" s="23" t="n">
        <v>46207</v>
      </c>
      <c r="C3" s="45" t="inlineStr">
        <is>
          <t>14:00</t>
        </is>
      </c>
      <c r="D3" s="47" t="inlineStr">
        <is>
          <t>Canadá x Marrocos</t>
        </is>
      </c>
      <c r="E3" s="45" t="inlineStr">
        <is>
          <t>0-3</t>
        </is>
      </c>
      <c r="F3" s="41" t="n"/>
      <c r="G3" s="41" t="n"/>
      <c r="H3" s="41" t="n"/>
      <c r="I3" s="41" t="n"/>
      <c r="J3" s="41" t="n"/>
      <c r="K3" s="41">
        <f>IF(COUNT(F3:J3)&lt;5,"",ROUND((F3*Quesitos!$B$3+G3*Quesitos!$B$4+H3*Quesitos!$B$5+I3*Quesitos!$B$6+J3*Quesitos!$B$7)/SUM(Quesitos!$B$3:$B$7),2))</f>
        <v/>
      </c>
    </row>
    <row r="4">
      <c r="A4" s="43" t="n">
        <v>89</v>
      </c>
      <c r="B4" s="31" t="n">
        <v>46207</v>
      </c>
      <c r="C4" s="43" t="inlineStr">
        <is>
          <t>18:00</t>
        </is>
      </c>
      <c r="D4" s="48" t="inlineStr">
        <is>
          <t>Paraguai x França</t>
        </is>
      </c>
      <c r="E4" s="43" t="inlineStr">
        <is>
          <t>0-1</t>
        </is>
      </c>
      <c r="F4" s="42" t="n"/>
      <c r="G4" s="42" t="n"/>
      <c r="H4" s="42" t="n"/>
      <c r="I4" s="42" t="n"/>
      <c r="J4" s="42" t="n"/>
      <c r="K4" s="42">
        <f>IF(COUNT(F4:J4)&lt;5,"",ROUND((F4*Quesitos!$B$3+G4*Quesitos!$B$4+H4*Quesitos!$B$5+I4*Quesitos!$B$6+J4*Quesitos!$B$7)/SUM(Quesitos!$B$3:$B$7),2))</f>
        <v/>
      </c>
    </row>
    <row r="5">
      <c r="A5" s="45" t="n">
        <v>91</v>
      </c>
      <c r="B5" s="23" t="n">
        <v>46208</v>
      </c>
      <c r="C5" s="45" t="inlineStr">
        <is>
          <t>17:00</t>
        </is>
      </c>
      <c r="D5" s="47" t="inlineStr">
        <is>
          <t>Brasil x Noruega</t>
        </is>
      </c>
      <c r="E5" s="46" t="n">
        <v>46054</v>
      </c>
      <c r="F5" s="41" t="n"/>
      <c r="G5" s="41" t="n"/>
      <c r="H5" s="41" t="n"/>
      <c r="I5" s="41" t="n"/>
      <c r="J5" s="41" t="n"/>
      <c r="K5" s="41">
        <f>IF(COUNT(F5:J5)&lt;5,"",ROUND((F5*Quesitos!$B$3+G5*Quesitos!$B$4+H5*Quesitos!$B$5+I5*Quesitos!$B$6+J5*Quesitos!$B$7)/SUM(Quesitos!$B$3:$B$7),2))</f>
        <v/>
      </c>
    </row>
    <row r="6">
      <c r="A6" s="43" t="n">
        <v>92</v>
      </c>
      <c r="B6" s="31" t="n">
        <v>46208</v>
      </c>
      <c r="C6" s="43" t="inlineStr">
        <is>
          <t>21:00</t>
        </is>
      </c>
      <c r="D6" s="48" t="inlineStr">
        <is>
          <t>México x Inglaterra</t>
        </is>
      </c>
      <c r="E6" s="44" t="n">
        <v>46056</v>
      </c>
      <c r="F6" s="42" t="n"/>
      <c r="G6" s="42" t="n"/>
      <c r="H6" s="42" t="n"/>
      <c r="I6" s="42" t="n"/>
      <c r="J6" s="42" t="n"/>
      <c r="K6" s="42">
        <f>IF(COUNT(F6:J6)&lt;5,"",ROUND((F6*Quesitos!$B$3+G6*Quesitos!$B$4+H6*Quesitos!$B$5+I6*Quesitos!$B$6+J6*Quesitos!$B$7)/SUM(Quesitos!$B$3:$B$7),2))</f>
        <v/>
      </c>
    </row>
    <row r="7">
      <c r="A7" s="45" t="n">
        <v>93</v>
      </c>
      <c r="B7" s="23" t="n">
        <v>46209</v>
      </c>
      <c r="C7" s="45" t="inlineStr">
        <is>
          <t>16:00</t>
        </is>
      </c>
      <c r="D7" s="47" t="inlineStr">
        <is>
          <t>Portugal x Espanha</t>
        </is>
      </c>
      <c r="E7" s="45" t="inlineStr">
        <is>
          <t>0-1</t>
        </is>
      </c>
      <c r="F7" s="41" t="n"/>
      <c r="G7" s="41" t="n"/>
      <c r="H7" s="41" t="n"/>
      <c r="I7" s="41" t="n"/>
      <c r="J7" s="41" t="n"/>
      <c r="K7" s="41">
        <f>IF(COUNT(F7:J7)&lt;5,"",ROUND((F7*Quesitos!$B$3+G7*Quesitos!$B$4+H7*Quesitos!$B$5+I7*Quesitos!$B$6+J7*Quesitos!$B$7)/SUM(Quesitos!$B$3:$B$7),2))</f>
        <v/>
      </c>
    </row>
    <row r="8">
      <c r="A8" s="43" t="n">
        <v>94</v>
      </c>
      <c r="B8" s="31" t="n">
        <v>46209</v>
      </c>
      <c r="C8" s="43" t="inlineStr">
        <is>
          <t>21:00</t>
        </is>
      </c>
      <c r="D8" s="48" t="inlineStr">
        <is>
          <t>Estados Unidos x Bélgica</t>
        </is>
      </c>
      <c r="E8" s="44" t="n">
        <v>46113</v>
      </c>
      <c r="F8" s="42" t="n"/>
      <c r="G8" s="42" t="n"/>
      <c r="H8" s="42" t="n"/>
      <c r="I8" s="42" t="n"/>
      <c r="J8" s="42" t="n"/>
      <c r="K8" s="42">
        <f>IF(COUNT(F8:J8)&lt;5,"",ROUND((F8*Quesitos!$B$3+G8*Quesitos!$B$4+H8*Quesitos!$B$5+I8*Quesitos!$B$6+J8*Quesitos!$B$7)/SUM(Quesitos!$B$3:$B$7),2))</f>
        <v/>
      </c>
    </row>
    <row r="9">
      <c r="A9" s="45" t="n">
        <v>95</v>
      </c>
      <c r="B9" s="23" t="n">
        <v>46210</v>
      </c>
      <c r="C9" s="45" t="inlineStr">
        <is>
          <t>13:00</t>
        </is>
      </c>
      <c r="D9" s="47" t="inlineStr">
        <is>
          <t>Argentina x Egito</t>
        </is>
      </c>
      <c r="E9" s="46" t="n">
        <v>46056</v>
      </c>
      <c r="F9" s="41" t="n"/>
      <c r="G9" s="41" t="n"/>
      <c r="H9" s="41" t="n"/>
      <c r="I9" s="41" t="n"/>
      <c r="J9" s="41" t="n"/>
      <c r="K9" s="41">
        <f>IF(COUNT(F9:J9)&lt;5,"",ROUND((F9*Quesitos!$B$3+G9*Quesitos!$B$4+H9*Quesitos!$B$5+I9*Quesitos!$B$6+J9*Quesitos!$B$7)/SUM(Quesitos!$B$3:$B$7),2))</f>
        <v/>
      </c>
    </row>
    <row r="10">
      <c r="A10" s="43" t="n">
        <v>96</v>
      </c>
      <c r="B10" s="31" t="n">
        <v>46210</v>
      </c>
      <c r="C10" s="43" t="inlineStr">
        <is>
          <t>17:00</t>
        </is>
      </c>
      <c r="D10" s="48" t="inlineStr">
        <is>
          <t>Suíça x Colômbia</t>
        </is>
      </c>
      <c r="E10" s="43" t="inlineStr">
        <is>
          <t>(4)0-0(3)</t>
        </is>
      </c>
      <c r="F10" s="42" t="n"/>
      <c r="G10" s="42" t="n"/>
      <c r="H10" s="42" t="n"/>
      <c r="I10" s="42" t="n"/>
      <c r="J10" s="42" t="n"/>
      <c r="K10" s="42">
        <f>IF(COUNT(F10:J10)&lt;5,"",ROUND((F10*Quesitos!$B$3+G10*Quesitos!$B$4+H10*Quesitos!$B$5+I10*Quesitos!$B$6+J10*Quesitos!$B$7)/SUM(Quesitos!$B$3:$B$7),2))</f>
        <v/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">
    <mergeCell ref="A1:K1"/>
  </mergeCells>
  <conditionalFormatting sqref="F3:K10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10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9" min="1" max="2"/>
    <col width="11" customWidth="1" style="49" min="3" max="3"/>
    <col width="38" customWidth="1" style="49" min="4" max="4"/>
    <col width="10" customWidth="1" style="49" min="5" max="5"/>
    <col width="12" customWidth="1" style="49" min="6" max="9"/>
    <col width="20" customWidth="1" style="49" min="10" max="10"/>
    <col width="12" customWidth="1" style="49" min="11" max="11"/>
    <col width="8.630000000000001" customWidth="1" style="49" min="12" max="26"/>
  </cols>
  <sheetData>
    <row r="1" ht="27.75" customHeight="1" s="49">
      <c r="A1" s="20" t="inlineStr">
        <is>
          <t>Quartas de final</t>
        </is>
      </c>
    </row>
    <row r="2" ht="36" customHeight="1" s="49">
      <c r="A2" s="21" t="inlineStr">
        <is>
          <t>Número da partida</t>
        </is>
      </c>
      <c r="B2" s="21" t="inlineStr">
        <is>
          <t>Data</t>
        </is>
      </c>
      <c r="C2" s="21" t="inlineStr">
        <is>
          <t>Hora (BRT)</t>
        </is>
      </c>
      <c r="D2" s="21" t="inlineStr">
        <is>
          <t>Partida</t>
        </is>
      </c>
      <c r="E2" s="21" t="inlineStr">
        <is>
          <t>Placar</t>
        </is>
      </c>
      <c r="F2" s="21" t="inlineStr">
        <is>
          <t>1º tempo</t>
        </is>
      </c>
      <c r="G2" s="21" t="inlineStr">
        <is>
          <t>2º tempo</t>
        </is>
      </c>
      <c r="H2" s="21" t="inlineStr">
        <is>
          <t>Lá e cá</t>
        </is>
      </c>
      <c r="I2" s="21" t="inlineStr">
        <is>
          <t>Emoção</t>
        </is>
      </c>
      <c r="J2" s="21" t="inlineStr">
        <is>
          <t>Componente histórico</t>
        </is>
      </c>
      <c r="K2" s="21" t="inlineStr">
        <is>
          <t>Nota final</t>
        </is>
      </c>
    </row>
    <row r="3">
      <c r="A3" s="45" t="n">
        <v>97</v>
      </c>
      <c r="B3" s="23" t="n">
        <v>46212</v>
      </c>
      <c r="C3" s="45" t="inlineStr">
        <is>
          <t>17:00</t>
        </is>
      </c>
      <c r="D3" s="47" t="inlineStr">
        <is>
          <t>França x Marrocos</t>
        </is>
      </c>
      <c r="E3" s="45" t="inlineStr">
        <is>
          <t>2-0</t>
        </is>
      </c>
      <c r="F3" s="41" t="n"/>
      <c r="G3" s="41" t="n"/>
      <c r="H3" s="41" t="n"/>
      <c r="I3" s="41" t="n"/>
      <c r="J3" s="41" t="n"/>
      <c r="K3" s="41">
        <f>IF(COUNT(F3:J3)&lt;5,"",ROUND((F3*Quesitos!$B$3+G3*Quesitos!$B$4+H3*Quesitos!$B$5+I3*Quesitos!$B$6+J3*Quesitos!$B$7)/SUM(Quesitos!$B$3:$B$7),2))</f>
        <v/>
      </c>
    </row>
    <row r="4">
      <c r="A4" s="43" t="n">
        <v>98</v>
      </c>
      <c r="B4" s="31" t="n">
        <v>46213</v>
      </c>
      <c r="C4" s="43" t="inlineStr">
        <is>
          <t>16:00</t>
        </is>
      </c>
      <c r="D4" s="48" t="inlineStr">
        <is>
          <t>Espanha x Bélgica</t>
        </is>
      </c>
      <c r="E4" s="44" t="n">
        <v>46024</v>
      </c>
      <c r="F4" s="42" t="n"/>
      <c r="G4" s="42" t="n"/>
      <c r="H4" s="42" t="n"/>
      <c r="I4" s="42" t="n"/>
      <c r="J4" s="42" t="n"/>
      <c r="K4" s="42">
        <f>IF(COUNT(F4:J4)&lt;5,"",ROUND((F4*Quesitos!$B$3+G4*Quesitos!$B$4+H4*Quesitos!$B$5+I4*Quesitos!$B$6+J4*Quesitos!$B$7)/SUM(Quesitos!$B$3:$B$7),2))</f>
        <v/>
      </c>
    </row>
    <row r="5">
      <c r="A5" s="45" t="n">
        <v>99</v>
      </c>
      <c r="B5" s="23" t="n">
        <v>46214</v>
      </c>
      <c r="C5" s="45" t="inlineStr">
        <is>
          <t>18:00</t>
        </is>
      </c>
      <c r="D5" s="47" t="inlineStr">
        <is>
          <t>Noruega x Inglaterra</t>
        </is>
      </c>
      <c r="E5" s="46" t="n">
        <v>46054</v>
      </c>
      <c r="F5" s="41" t="n"/>
      <c r="G5" s="41" t="n"/>
      <c r="H5" s="41" t="n"/>
      <c r="I5" s="41" t="n"/>
      <c r="J5" s="41" t="n"/>
      <c r="K5" s="41">
        <f>IF(COUNT(F5:J5)&lt;5,"",ROUND((F5*Quesitos!$B$3+G5*Quesitos!$B$4+H5*Quesitos!$B$5+I5*Quesitos!$B$6+J5*Quesitos!$B$7)/SUM(Quesitos!$B$3:$B$7),2))</f>
        <v/>
      </c>
    </row>
    <row r="6">
      <c r="A6" s="43" t="n">
        <v>100</v>
      </c>
      <c r="B6" s="31" t="n">
        <v>46214</v>
      </c>
      <c r="C6" s="43" t="inlineStr">
        <is>
          <t>22:00</t>
        </is>
      </c>
      <c r="D6" s="48" t="inlineStr">
        <is>
          <t>Argentina x Suíça</t>
        </is>
      </c>
      <c r="E6" s="44" t="n">
        <v>46025</v>
      </c>
      <c r="F6" s="42" t="n"/>
      <c r="G6" s="42" t="n"/>
      <c r="H6" s="42" t="n"/>
      <c r="I6" s="42" t="n"/>
      <c r="J6" s="42" t="n"/>
      <c r="K6" s="42">
        <f>IF(COUNT(F6:J6)&lt;5,"",ROUND((F6*Quesitos!$B$3+G6*Quesitos!$B$4+H6*Quesitos!$B$5+I6*Quesitos!$B$6+J6*Quesitos!$B$7)/SUM(Quesitos!$B$3:$B$7),2))</f>
        <v/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">
    <mergeCell ref="A1:K1"/>
  </mergeCells>
  <conditionalFormatting sqref="F3:K6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6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9" min="1" max="2"/>
    <col width="11" customWidth="1" style="49" min="3" max="3"/>
    <col width="38" customWidth="1" style="49" min="4" max="4"/>
    <col width="10" customWidth="1" style="49" min="5" max="5"/>
    <col width="12" customWidth="1" style="49" min="6" max="9"/>
    <col width="20" customWidth="1" style="49" min="10" max="10"/>
    <col width="12" customWidth="1" style="49" min="11" max="11"/>
    <col width="8.630000000000001" customWidth="1" style="49" min="12" max="26"/>
  </cols>
  <sheetData>
    <row r="1" ht="27.75" customHeight="1" s="49">
      <c r="A1" s="20" t="inlineStr">
        <is>
          <t>Semifinais</t>
        </is>
      </c>
    </row>
    <row r="2" ht="36" customHeight="1" s="49">
      <c r="A2" s="21" t="inlineStr">
        <is>
          <t>Número da partida</t>
        </is>
      </c>
      <c r="B2" s="21" t="inlineStr">
        <is>
          <t>Data</t>
        </is>
      </c>
      <c r="C2" s="21" t="inlineStr">
        <is>
          <t>Hora (BRT)</t>
        </is>
      </c>
      <c r="D2" s="21" t="inlineStr">
        <is>
          <t>Partida</t>
        </is>
      </c>
      <c r="E2" s="21" t="inlineStr">
        <is>
          <t>Placar</t>
        </is>
      </c>
      <c r="F2" s="21" t="inlineStr">
        <is>
          <t>1º tempo</t>
        </is>
      </c>
      <c r="G2" s="21" t="inlineStr">
        <is>
          <t>2º tempo</t>
        </is>
      </c>
      <c r="H2" s="21" t="inlineStr">
        <is>
          <t>Lá e cá</t>
        </is>
      </c>
      <c r="I2" s="21" t="inlineStr">
        <is>
          <t>Emoção</t>
        </is>
      </c>
      <c r="J2" s="21" t="inlineStr">
        <is>
          <t>Componente histórico</t>
        </is>
      </c>
      <c r="K2" s="21" t="inlineStr">
        <is>
          <t>Nota final</t>
        </is>
      </c>
    </row>
    <row r="3">
      <c r="A3" s="45" t="n">
        <v>101</v>
      </c>
      <c r="B3" s="23" t="n">
        <v>46217</v>
      </c>
      <c r="C3" s="45" t="inlineStr">
        <is>
          <t>16:00</t>
        </is>
      </c>
      <c r="D3" s="47" t="inlineStr">
        <is>
          <t>França x Espanha</t>
        </is>
      </c>
      <c r="E3" s="45" t="inlineStr">
        <is>
          <t>0-2</t>
        </is>
      </c>
      <c r="F3" s="41" t="n"/>
      <c r="G3" s="41" t="n"/>
      <c r="H3" s="41" t="n"/>
      <c r="I3" s="41" t="n"/>
      <c r="J3" s="41" t="n"/>
      <c r="K3" s="41">
        <f>IF(COUNT(F3:J3)&lt;5,"",ROUND((F3*Quesitos!$B$3+G3*Quesitos!$B$4+H3*Quesitos!$B$5+I3*Quesitos!$B$6+J3*Quesitos!$B$7)/SUM(Quesitos!$B$3:$B$7),2))</f>
        <v/>
      </c>
    </row>
    <row r="4">
      <c r="A4" s="43" t="n">
        <v>102</v>
      </c>
      <c r="B4" s="31" t="n">
        <v>46218</v>
      </c>
      <c r="C4" s="43" t="inlineStr">
        <is>
          <t>16:00</t>
        </is>
      </c>
      <c r="D4" s="48" t="inlineStr">
        <is>
          <t>Inglaterra x Argentina</t>
        </is>
      </c>
      <c r="E4" s="44" t="n">
        <v>46054</v>
      </c>
      <c r="F4" s="42" t="n"/>
      <c r="G4" s="42" t="n"/>
      <c r="H4" s="42" t="n"/>
      <c r="I4" s="42" t="n"/>
      <c r="J4" s="42" t="n"/>
      <c r="K4" s="42">
        <f>IF(COUNT(F4:J4)&lt;5,"",ROUND((F4*Quesitos!$B$3+G4*Quesitos!$B$4+H4*Quesitos!$B$5+I4*Quesitos!$B$6+J4*Quesitos!$B$7)/SUM(Quesitos!$B$3:$B$7),2))</f>
        <v/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">
    <mergeCell ref="A1:K1"/>
  </mergeCells>
  <conditionalFormatting sqref="F3:K4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4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9" min="1" max="2"/>
    <col width="11" customWidth="1" style="49" min="3" max="3"/>
    <col width="38" customWidth="1" style="49" min="4" max="4"/>
    <col width="10" customWidth="1" style="49" min="5" max="5"/>
    <col width="12" customWidth="1" style="49" min="6" max="9"/>
    <col width="20" customWidth="1" style="49" min="10" max="10"/>
    <col width="12" customWidth="1" style="49" min="11" max="11"/>
    <col width="8.630000000000001" customWidth="1" style="49" min="12" max="26"/>
  </cols>
  <sheetData>
    <row r="1" ht="27.75" customHeight="1" s="49">
      <c r="A1" s="20" t="inlineStr">
        <is>
          <t>3º lugar</t>
        </is>
      </c>
    </row>
    <row r="2" ht="36" customHeight="1" s="49">
      <c r="A2" s="21" t="inlineStr">
        <is>
          <t>Número da partida</t>
        </is>
      </c>
      <c r="B2" s="21" t="inlineStr">
        <is>
          <t>Data</t>
        </is>
      </c>
      <c r="C2" s="21" t="inlineStr">
        <is>
          <t>Hora (BRT)</t>
        </is>
      </c>
      <c r="D2" s="21" t="inlineStr">
        <is>
          <t>Partida</t>
        </is>
      </c>
      <c r="E2" s="21" t="inlineStr">
        <is>
          <t>Placar</t>
        </is>
      </c>
      <c r="F2" s="21" t="inlineStr">
        <is>
          <t>1º tempo</t>
        </is>
      </c>
      <c r="G2" s="21" t="inlineStr">
        <is>
          <t>2º tempo</t>
        </is>
      </c>
      <c r="H2" s="21" t="inlineStr">
        <is>
          <t>Lá e cá</t>
        </is>
      </c>
      <c r="I2" s="21" t="inlineStr">
        <is>
          <t>Emoção</t>
        </is>
      </c>
      <c r="J2" s="21" t="inlineStr">
        <is>
          <t>Componente histórico</t>
        </is>
      </c>
      <c r="K2" s="21" t="inlineStr">
        <is>
          <t>Nota final</t>
        </is>
      </c>
    </row>
    <row r="3">
      <c r="A3" s="45" t="n">
        <v>103</v>
      </c>
      <c r="B3" s="23" t="n">
        <v>46221</v>
      </c>
      <c r="C3" s="45" t="inlineStr">
        <is>
          <t>18:00</t>
        </is>
      </c>
      <c r="D3" s="47" t="inlineStr">
        <is>
          <t>França x Inglaterra</t>
        </is>
      </c>
      <c r="E3" s="46" t="n">
        <v>46177</v>
      </c>
      <c r="F3" s="41" t="n"/>
      <c r="G3" s="41" t="n"/>
      <c r="H3" s="41" t="n"/>
      <c r="I3" s="41" t="n"/>
      <c r="J3" s="41" t="n"/>
      <c r="K3" s="41">
        <f>IF(COUNT(F3:J3)&lt;5,"",ROUND((F3*Quesitos!$B$3+G3*Quesitos!$B$4+H3*Quesitos!$B$5+I3*Quesitos!$B$6+J3*Quesitos!$B$7)/SUM(Quesitos!$B$3:$B$7),2))</f>
        <v/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">
    <mergeCell ref="A1:K1"/>
  </mergeCells>
  <conditionalFormatting sqref="F3:K3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3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49" min="1" max="2"/>
    <col width="11" customWidth="1" style="49" min="3" max="3"/>
    <col width="38" customWidth="1" style="49" min="4" max="4"/>
    <col width="10" customWidth="1" style="49" min="5" max="5"/>
    <col width="12" customWidth="1" style="49" min="6" max="9"/>
    <col width="20" customWidth="1" style="49" min="10" max="10"/>
    <col width="12" customWidth="1" style="49" min="11" max="11"/>
    <col width="8.630000000000001" customWidth="1" style="49" min="12" max="26"/>
  </cols>
  <sheetData>
    <row r="1" ht="27.75" customHeight="1" s="49">
      <c r="A1" s="20" t="inlineStr">
        <is>
          <t>Final</t>
        </is>
      </c>
    </row>
    <row r="2" ht="36" customHeight="1" s="49">
      <c r="A2" s="21" t="inlineStr">
        <is>
          <t>Número da partida</t>
        </is>
      </c>
      <c r="B2" s="21" t="inlineStr">
        <is>
          <t>Data</t>
        </is>
      </c>
      <c r="C2" s="21" t="inlineStr">
        <is>
          <t>Hora (BRT)</t>
        </is>
      </c>
      <c r="D2" s="21" t="inlineStr">
        <is>
          <t>Partida</t>
        </is>
      </c>
      <c r="E2" s="21" t="inlineStr">
        <is>
          <t>Placar</t>
        </is>
      </c>
      <c r="F2" s="21" t="inlineStr">
        <is>
          <t>1º tempo</t>
        </is>
      </c>
      <c r="G2" s="21" t="inlineStr">
        <is>
          <t>2º tempo</t>
        </is>
      </c>
      <c r="H2" s="21" t="inlineStr">
        <is>
          <t>Lá e cá</t>
        </is>
      </c>
      <c r="I2" s="21" t="inlineStr">
        <is>
          <t>Emoção</t>
        </is>
      </c>
      <c r="J2" s="21" t="inlineStr">
        <is>
          <t>Componente histórico</t>
        </is>
      </c>
      <c r="K2" s="21" t="inlineStr">
        <is>
          <t>Nota final</t>
        </is>
      </c>
    </row>
    <row r="3">
      <c r="A3" s="45" t="n">
        <v>104</v>
      </c>
      <c r="B3" s="23" t="n">
        <v>46222</v>
      </c>
      <c r="C3" s="45" t="inlineStr">
        <is>
          <t>16:00</t>
        </is>
      </c>
      <c r="D3" s="47" t="inlineStr">
        <is>
          <t>Espanha x Argentina</t>
        </is>
      </c>
      <c r="E3" s="45" t="n"/>
      <c r="F3" s="41" t="n"/>
      <c r="G3" s="41" t="n"/>
      <c r="H3" s="41" t="n"/>
      <c r="I3" s="41" t="n"/>
      <c r="J3" s="41" t="n"/>
      <c r="K3" s="41">
        <f>IF(COUNT(F3:J3)&lt;5,"",ROUND((F3*Quesitos!$B$3+G3*Quesitos!$B$4+H3*Quesitos!$B$5+I3*Quesitos!$B$6+J3*Quesitos!$B$7)/SUM(Quesitos!$B$3:$B$7),2))</f>
        <v/>
      </c>
    </row>
    <row r="21" ht="15.75" customHeight="1" s="49"/>
    <row r="22" ht="15.75" customHeight="1" s="49"/>
    <row r="23" ht="15.75" customHeight="1" s="49"/>
    <row r="24" ht="15.75" customHeight="1" s="49"/>
    <row r="25" ht="15.75" customHeight="1" s="49"/>
    <row r="26" ht="15.75" customHeight="1" s="49"/>
    <row r="27" ht="15.75" customHeight="1" s="49"/>
    <row r="28" ht="15.75" customHeight="1" s="49"/>
    <row r="29" ht="15.75" customHeight="1" s="49"/>
    <row r="30" ht="15.75" customHeight="1" s="49"/>
    <row r="31" ht="15.75" customHeight="1" s="49"/>
    <row r="32" ht="15.75" customHeight="1" s="49"/>
    <row r="33" ht="15.75" customHeight="1" s="49"/>
    <row r="34" ht="15.75" customHeight="1" s="49"/>
    <row r="35" ht="15.75" customHeight="1" s="49"/>
    <row r="36" ht="15.75" customHeight="1" s="49"/>
    <row r="37" ht="15.75" customHeight="1" s="49"/>
    <row r="38" ht="15.75" customHeight="1" s="49"/>
    <row r="39" ht="15.75" customHeight="1" s="49"/>
    <row r="40" ht="15.75" customHeight="1" s="49"/>
    <row r="41" ht="15.75" customHeight="1" s="49"/>
    <row r="42" ht="15.75" customHeight="1" s="49"/>
    <row r="43" ht="15.75" customHeight="1" s="49"/>
    <row r="44" ht="15.75" customHeight="1" s="49"/>
    <row r="45" ht="15.75" customHeight="1" s="49"/>
    <row r="46" ht="15.75" customHeight="1" s="49"/>
    <row r="47" ht="15.75" customHeight="1" s="49"/>
    <row r="48" ht="15.75" customHeight="1" s="49"/>
    <row r="49" ht="15.75" customHeight="1" s="49"/>
    <row r="50" ht="15.75" customHeight="1" s="49"/>
    <row r="51" ht="15.75" customHeight="1" s="49"/>
    <row r="52" ht="15.75" customHeight="1" s="49"/>
    <row r="53" ht="15.75" customHeight="1" s="49"/>
    <row r="54" ht="15.75" customHeight="1" s="49"/>
    <row r="55" ht="15.75" customHeight="1" s="49"/>
    <row r="56" ht="15.75" customHeight="1" s="49"/>
    <row r="57" ht="15.75" customHeight="1" s="49"/>
    <row r="58" ht="15.75" customHeight="1" s="49"/>
    <row r="59" ht="15.75" customHeight="1" s="49"/>
    <row r="60" ht="15.75" customHeight="1" s="49"/>
    <row r="61" ht="15.75" customHeight="1" s="49"/>
    <row r="62" ht="15.75" customHeight="1" s="49"/>
    <row r="63" ht="15.75" customHeight="1" s="49"/>
    <row r="64" ht="15.75" customHeight="1" s="49"/>
    <row r="65" ht="15.75" customHeight="1" s="49"/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1">
    <mergeCell ref="A1:K1"/>
  </mergeCells>
  <conditionalFormatting sqref="F3:K3">
    <cfRule type="expression" priority="1" dxfId="4">
      <formula>AND(ISNUMBER(F3),F3&gt;=0,F3&lt;2)</formula>
    </cfRule>
    <cfRule type="expression" priority="2" dxfId="5">
      <formula>AND(ISNUMBER(F3),F3&gt;=2,F3&lt;5)</formula>
    </cfRule>
    <cfRule type="expression" priority="3" dxfId="6">
      <formula>AND(ISNUMBER(F3),F3&gt;=5,F3&lt;7)</formula>
    </cfRule>
    <cfRule type="expression" priority="4" dxfId="7">
      <formula>AND(ISNUMBER(F3),F3&gt;=7,F3&lt;9)</formula>
    </cfRule>
    <cfRule type="expression" priority="5" dxfId="8">
      <formula>AND(ISNUMBER(F3),F3&gt;=9,F3&lt;=10)</formula>
    </cfRule>
  </conditionalFormatting>
  <dataValidations count="1">
    <dataValidation sqref="F3:J3" showDropDown="0" showInputMessage="1" showErrorMessage="0" allowBlank="1" prompt="Nota - Digite uma nota de 0 a 10." type="decimal">
      <formula1>0.0</formula1>
      <formula2>10.0</formula2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2026-07-19T02:33:06Z</dcterms:created>
  <dcterms:modified xsi:type="dcterms:W3CDTF">2026-07-19T02:33:06Z</dcterms:modified>
</cp:coreProperties>
</file>