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Quesitos" sheetId="2" r:id="rId5"/>
    <sheet state="visible" name="Fase de grupos" sheetId="3" r:id="rId6"/>
    <sheet state="visible" name="16 avos" sheetId="4" r:id="rId7"/>
    <sheet state="visible" name="Oitavas de final" sheetId="5" r:id="rId8"/>
    <sheet state="visible" name="Quartas de final" sheetId="6" r:id="rId9"/>
    <sheet state="visible" name="Semifinais" sheetId="7" r:id="rId10"/>
    <sheet state="visible" name="3º lugar" sheetId="8" r:id="rId11"/>
    <sheet state="visible" name="Final" sheetId="9" r:id="rId12"/>
  </sheets>
  <definedNames/>
  <calcPr/>
  <extLst>
    <ext uri="GoogleSheetsCustomDataVersion2">
      <go:sheetsCustomData xmlns:go="http://customooxmlschemas.google.com/" r:id="rId13" roundtripDataChecksum="8U1WRbd4SMpFGDb/uYUCbuTP/sCsBYV0eLHHPzK0UGk="/>
    </ext>
  </extLst>
</workbook>
</file>

<file path=xl/sharedStrings.xml><?xml version="1.0" encoding="utf-8"?>
<sst xmlns="http://schemas.openxmlformats.org/spreadsheetml/2006/main" count="450" uniqueCount="204">
  <si>
    <t>Controle de notas — Copa do Mundo 2026</t>
  </si>
  <si>
    <t>Indicador</t>
  </si>
  <si>
    <t>Valor</t>
  </si>
  <si>
    <t>Fase</t>
  </si>
  <si>
    <t>Partidas</t>
  </si>
  <si>
    <t>Média das notas</t>
  </si>
  <si>
    <t>Total de partidas</t>
  </si>
  <si>
    <t>Fase de grupos</t>
  </si>
  <si>
    <t>Partidas avaliadas</t>
  </si>
  <si>
    <t>16 avos</t>
  </si>
  <si>
    <t>Média geral</t>
  </si>
  <si>
    <t>Oitavas de final</t>
  </si>
  <si>
    <t>Maior nota</t>
  </si>
  <si>
    <t>Quartas de final</t>
  </si>
  <si>
    <t>Menor nota</t>
  </si>
  <si>
    <t>Semifinais</t>
  </si>
  <si>
    <t>Última atualização da estrutura</t>
  </si>
  <si>
    <t>3º lugar</t>
  </si>
  <si>
    <t>Final</t>
  </si>
  <si>
    <t>Quesitos e pesos da nota final</t>
  </si>
  <si>
    <t>Quesito</t>
  </si>
  <si>
    <t>Peso</t>
  </si>
  <si>
    <t>Peso (%)</t>
  </si>
  <si>
    <t>Orientação</t>
  </si>
  <si>
    <t>1º tempo</t>
  </si>
  <si>
    <t>Nota de 0 a 10 para a qualidade do primeiro tempo.</t>
  </si>
  <si>
    <t>2º tempo</t>
  </si>
  <si>
    <t>Nota de 0 a 10 para a qualidade do segundo tempo.</t>
  </si>
  <si>
    <t>Lá e cá</t>
  </si>
  <si>
    <t>Alternância, ataques dos dois lados, ritmo e sensação de jogo aberto.</t>
  </si>
  <si>
    <t>Emoção</t>
  </si>
  <si>
    <t>Tensão, imprevisibilidade, viradas, gols tardios e drama.</t>
  </si>
  <si>
    <t>Componente histórico</t>
  </si>
  <si>
    <t>Contexto histórico, zebras, recordes, rivalidade e relevância para a Copa.</t>
  </si>
  <si>
    <t>Total</t>
  </si>
  <si>
    <t>Legenda de cores</t>
  </si>
  <si>
    <t>Faixa</t>
  </si>
  <si>
    <t>Cor</t>
  </si>
  <si>
    <t>Uso</t>
  </si>
  <si>
    <t>Nota</t>
  </si>
  <si>
    <t>0–1,99</t>
  </si>
  <si>
    <t>Aplicada aos quesitos e à nota final</t>
  </si>
  <si>
    <t>2–4,99</t>
  </si>
  <si>
    <t>5–6,99</t>
  </si>
  <si>
    <t>7–8,99</t>
  </si>
  <si>
    <t>9–10</t>
  </si>
  <si>
    <t>Número da partida</t>
  </si>
  <si>
    <t>Data</t>
  </si>
  <si>
    <t>Hora (BRT)</t>
  </si>
  <si>
    <t>Partida</t>
  </si>
  <si>
    <t>Placar</t>
  </si>
  <si>
    <t>Nota final</t>
  </si>
  <si>
    <t>16:00</t>
  </si>
  <si>
    <t>México x África do Sul</t>
  </si>
  <si>
    <t>2-0</t>
  </si>
  <si>
    <t>23:00</t>
  </si>
  <si>
    <t>Coreia do Sul x Tchéquia</t>
  </si>
  <si>
    <t>2-1</t>
  </si>
  <si>
    <t>Canadá x Bósnia e Herzegovina</t>
  </si>
  <si>
    <t>1-1</t>
  </si>
  <si>
    <t>22:00</t>
  </si>
  <si>
    <t>Estados Unidos x Paraguai</t>
  </si>
  <si>
    <t>4-1</t>
  </si>
  <si>
    <t>Catar x Suíça</t>
  </si>
  <si>
    <t>19:00</t>
  </si>
  <si>
    <t>Brasil x Marrocos</t>
  </si>
  <si>
    <t>Haiti x Escócia</t>
  </si>
  <si>
    <t>0-1</t>
  </si>
  <si>
    <t>01:00</t>
  </si>
  <si>
    <t>Austrália x Turquia</t>
  </si>
  <si>
    <t>14:00</t>
  </si>
  <si>
    <t>Alemanha x Curaçao</t>
  </si>
  <si>
    <t>7-1</t>
  </si>
  <si>
    <t>17:00</t>
  </si>
  <si>
    <t>Holanda x Japão</t>
  </si>
  <si>
    <t>2-2</t>
  </si>
  <si>
    <t>20:00</t>
  </si>
  <si>
    <t>Costa do Marfim x Equador</t>
  </si>
  <si>
    <t>1-0</t>
  </si>
  <si>
    <t>Suécia x Tunísia</t>
  </si>
  <si>
    <t>5-1</t>
  </si>
  <si>
    <t>13:00</t>
  </si>
  <si>
    <t>Espanha x Cabo Verde</t>
  </si>
  <si>
    <t>0-0</t>
  </si>
  <si>
    <t>Bélgica x Egito</t>
  </si>
  <si>
    <t>Arábia Saudita x Uruguai</t>
  </si>
  <si>
    <t>Irã x Nova Zelândia</t>
  </si>
  <si>
    <t>França x Senegal</t>
  </si>
  <si>
    <t>3-1</t>
  </si>
  <si>
    <t>Iraque x Noruega</t>
  </si>
  <si>
    <t>1-4</t>
  </si>
  <si>
    <t>Argentina x Argélia</t>
  </si>
  <si>
    <t>3-0</t>
  </si>
  <si>
    <t>Áustria x Jordânia</t>
  </si>
  <si>
    <t>Portugal x RD Congo</t>
  </si>
  <si>
    <t>Inglaterra x Croácia</t>
  </si>
  <si>
    <t>4-2</t>
  </si>
  <si>
    <t>Gana x Panamá</t>
  </si>
  <si>
    <t>Uzbequistão x Colômbia</t>
  </si>
  <si>
    <t>1-3</t>
  </si>
  <si>
    <t>Tchéquia x África do Sul</t>
  </si>
  <si>
    <t>Suíça x Bósnia e Herzegovina</t>
  </si>
  <si>
    <t>Canadá x Catar</t>
  </si>
  <si>
    <t>6-0</t>
  </si>
  <si>
    <t>México x Coreia do Sul</t>
  </si>
  <si>
    <t>Estados Unidos x Austrália</t>
  </si>
  <si>
    <t>Escócia x Marrocos</t>
  </si>
  <si>
    <t>Brasil x Haiti</t>
  </si>
  <si>
    <t>00:00</t>
  </si>
  <si>
    <t>Turquia x Paraguai</t>
  </si>
  <si>
    <t>Holanda x Suécia</t>
  </si>
  <si>
    <t>Alemanha x Costa do Marfim</t>
  </si>
  <si>
    <t>21:00</t>
  </si>
  <si>
    <t>Equador x Curaçao</t>
  </si>
  <si>
    <t>Tunísia x Japão</t>
  </si>
  <si>
    <t>0-4</t>
  </si>
  <si>
    <t>Espanha x Arábia Saudita</t>
  </si>
  <si>
    <t>4-0</t>
  </si>
  <si>
    <t>Bélgica x Irã</t>
  </si>
  <si>
    <t>Uruguai x Cabo Verde</t>
  </si>
  <si>
    <t>Nova Zelândia x Egito</t>
  </si>
  <si>
    <t>Argentina x Áustria</t>
  </si>
  <si>
    <t>18:00</t>
  </si>
  <si>
    <t>França x Iraque</t>
  </si>
  <si>
    <t>Noruega x Senegal</t>
  </si>
  <si>
    <t>3-2</t>
  </si>
  <si>
    <t>Jordânia x Argélia</t>
  </si>
  <si>
    <t>1-2</t>
  </si>
  <si>
    <t>Portugal x Uzbequistão</t>
  </si>
  <si>
    <t>5-0</t>
  </si>
  <si>
    <t>Inglaterra x Gana</t>
  </si>
  <si>
    <t>Panamá x Croácia</t>
  </si>
  <si>
    <t>Colômbia x RD Congo</t>
  </si>
  <si>
    <t>Suíça x Canadá</t>
  </si>
  <si>
    <t>Bósnia e Herzegovina x Catar</t>
  </si>
  <si>
    <t>Escócia x Brasil</t>
  </si>
  <si>
    <t>0-3</t>
  </si>
  <si>
    <t>Marrocos x Haiti</t>
  </si>
  <si>
    <t>Tchéquia x México</t>
  </si>
  <si>
    <t>África do Sul x Coreia do Sul</t>
  </si>
  <si>
    <t>Curaçao x Costa do Marfim</t>
  </si>
  <si>
    <t>0-2</t>
  </si>
  <si>
    <t>Equador x Alemanha</t>
  </si>
  <si>
    <t>Japão x Suécia</t>
  </si>
  <si>
    <t>Tunísia x Holanda</t>
  </si>
  <si>
    <t>Turquia x Estados Unidos</t>
  </si>
  <si>
    <t>Paraguai x Austrália</t>
  </si>
  <si>
    <t>Noruega x França</t>
  </si>
  <si>
    <t>Senegal x Iraque</t>
  </si>
  <si>
    <t>Cabo Verde x Arábia Saudita</t>
  </si>
  <si>
    <t>Uruguai x Espanha</t>
  </si>
  <si>
    <t>Egito x Irã</t>
  </si>
  <si>
    <t>Nova Zelândia x Bélgica</t>
  </si>
  <si>
    <t>1-5</t>
  </si>
  <si>
    <t>Panamá x Inglaterra</t>
  </si>
  <si>
    <t>Croácia x Gana</t>
  </si>
  <si>
    <t>20:30</t>
  </si>
  <si>
    <t>Colômbia x Portugal</t>
  </si>
  <si>
    <t>RD Congo x Uzbequistão</t>
  </si>
  <si>
    <t>Argélia x Áustria</t>
  </si>
  <si>
    <t>3-3</t>
  </si>
  <si>
    <t>Jordânia x Argentina</t>
  </si>
  <si>
    <t>32 avos</t>
  </si>
  <si>
    <t>África do Sul x Canadá</t>
  </si>
  <si>
    <t>Brasil x Japão</t>
  </si>
  <si>
    <t>17:30</t>
  </si>
  <si>
    <t>Alemanha x Paraguai</t>
  </si>
  <si>
    <t>(3)1-1(4)</t>
  </si>
  <si>
    <t>Holanda x Marrocos</t>
  </si>
  <si>
    <t>(2)1-1(3)</t>
  </si>
  <si>
    <t>Costa do Marfim x Noruega</t>
  </si>
  <si>
    <t>França x Suécia</t>
  </si>
  <si>
    <t>México x Equador</t>
  </si>
  <si>
    <t>Inglaterra x RD Congo</t>
  </si>
  <si>
    <t>Bélgica x Senegal</t>
  </si>
  <si>
    <t>Estados Unidos x Bósnia e Herzegovina</t>
  </si>
  <si>
    <t>Espanha x Áustria</t>
  </si>
  <si>
    <t>Portugal x Croácia</t>
  </si>
  <si>
    <t>Suíça x Argélia</t>
  </si>
  <si>
    <t>15:00</t>
  </si>
  <si>
    <t>Austrália x Egito</t>
  </si>
  <si>
    <t>(2)1-1(4)</t>
  </si>
  <si>
    <t>Argentina x Cabo Verde</t>
  </si>
  <si>
    <t>22:30</t>
  </si>
  <si>
    <t>Colômbia x Gana</t>
  </si>
  <si>
    <t>Canadá x Marrocos</t>
  </si>
  <si>
    <t>Paraguai x França</t>
  </si>
  <si>
    <t>Brasil x Noruega</t>
  </si>
  <si>
    <t>México x Inglaterra</t>
  </si>
  <si>
    <t>Portugal x Espanha</t>
  </si>
  <si>
    <t>Estados Unidos x Bélgica</t>
  </si>
  <si>
    <t>Argentina x Egito</t>
  </si>
  <si>
    <t>Suíça x Colômbia</t>
  </si>
  <si>
    <t>(4)0-0(3)</t>
  </si>
  <si>
    <t>França x Marrocos</t>
  </si>
  <si>
    <t>Espanha x Bélgica</t>
  </si>
  <si>
    <t>Noruega x Inglaterra</t>
  </si>
  <si>
    <t>Argentina x Suíça</t>
  </si>
  <si>
    <t>França x Espanha</t>
  </si>
  <si>
    <t>Inglaterra x Argentina</t>
  </si>
  <si>
    <t>França x Inglaterra</t>
  </si>
  <si>
    <t>4-6</t>
  </si>
  <si>
    <t>Espanha x Argentina</t>
  </si>
  <si>
    <t>2-3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</si>
</sst>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5">
    <font>
      <sz val="11.0"/>
      <color rgb="FF000000"/>
      <name val="Carlito"/>
      <scheme val="minor"/>
    </font>
    <font>
      <b/>
      <sz val="14.0"/>
      <color rgb="FFFFFFFF"/>
      <name val="Carlito"/>
    </font>
    <font>
      <b/>
      <sz val="11.0"/>
      <color rgb="FFFFFFFF"/>
      <name val="Carlito"/>
    </font>
    <font>
      <sz val="11.0"/>
      <color rgb="FF1F2937"/>
      <name val="Carlito"/>
    </font>
    <font>
      <color theme="1"/>
      <name val="Carlito"/>
    </font>
    <font>
      <sz val="11.0"/>
      <color theme="1"/>
      <name val="Carlito"/>
    </font>
    <font>
      <b/>
      <sz val="11.0"/>
      <color theme="1"/>
      <name val="Carlito"/>
    </font>
    <font>
      <b/>
      <sz val="11.0"/>
      <color rgb="FF1F2937"/>
      <name val="Carlito"/>
    </font>
    <font>
      <b/>
      <sz val="13.0"/>
      <color rgb="FFFFFFFF"/>
      <name val="Carlito"/>
    </font>
    <font>
      <sz val="10.0"/>
      <color rgb="FF1F2937"/>
      <name val="Carlito"/>
    </font>
    <font>
      <b/>
      <sz val="11.0"/>
      <color rgb="FF1E3A8A"/>
      <name val="Carlito"/>
    </font>
    <font>
      <b/>
      <sz val="11.0"/>
      <color rgb="FF92400E"/>
      <name val="Carlito"/>
    </font>
    <font>
      <b/>
      <sz val="11.0"/>
      <color rgb="FF991B1B"/>
      <name val="Carlito"/>
    </font>
    <font>
      <b/>
      <sz val="11.0"/>
      <color rgb="FF4C1D95"/>
      <name val="Carlito"/>
    </font>
    <font>
      <b/>
      <sz val="11.0"/>
      <color rgb="FF166534"/>
      <name val="Carlito"/>
    </font>
  </fonts>
  <fills count="1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156082"/>
        <bgColor rgb="FF156082"/>
      </patternFill>
    </fill>
    <fill>
      <patternFill patternType="solid">
        <fgColor rgb="FFE5EEF5"/>
        <bgColor rgb="FFE5EEF5"/>
      </patternFill>
    </fill>
    <fill>
      <patternFill patternType="solid">
        <fgColor rgb="FFEDE9FE"/>
        <bgColor rgb="FFEDE9FE"/>
      </patternFill>
    </fill>
    <fill>
      <patternFill patternType="solid">
        <fgColor rgb="FFFEE2E2"/>
        <bgColor rgb="FFFEE2E2"/>
      </patternFill>
    </fill>
    <fill>
      <patternFill patternType="solid">
        <fgColor rgb="FFFEF3C7"/>
        <bgColor rgb="FFFEF3C7"/>
      </patternFill>
    </fill>
    <fill>
      <patternFill patternType="solid">
        <fgColor rgb="FFDBEAFE"/>
        <bgColor rgb="FFDBEAFE"/>
      </patternFill>
    </fill>
    <fill>
      <patternFill patternType="solid">
        <fgColor rgb="FFDCFCE7"/>
        <bgColor rgb="FFDCFCE7"/>
      </patternFill>
    </fill>
    <fill>
      <patternFill patternType="solid">
        <fgColor rgb="FFFFFFFF"/>
        <bgColor rgb="FFFFFFFF"/>
      </patternFill>
    </fill>
    <fill>
      <patternFill patternType="solid">
        <fgColor rgb="FFEDF7FB"/>
        <bgColor rgb="FFEDF7FB"/>
      </patternFill>
    </fill>
    <fill>
      <patternFill patternType="solid">
        <fgColor rgb="FFC1E4F5"/>
        <bgColor rgb="FFC1E4F5"/>
      </patternFill>
    </fill>
  </fills>
  <borders count="1">
    <border/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/>
    </xf>
    <xf borderId="0" fillId="0" fontId="3" numFmtId="0" xfId="0" applyAlignment="1" applyFont="1">
      <alignment vertical="center"/>
    </xf>
    <xf borderId="0" fillId="0" fontId="3" numFmtId="2" xfId="0" applyAlignment="1" applyFont="1" applyNumberFormat="1">
      <alignment vertical="center"/>
    </xf>
    <xf borderId="0" fillId="0" fontId="3" numFmtId="164" xfId="0" applyAlignment="1" applyFont="1" applyNumberFormat="1">
      <alignment vertical="center"/>
    </xf>
    <xf borderId="0" fillId="0" fontId="4" numFmtId="0" xfId="0" applyFont="1"/>
    <xf borderId="0" fillId="0" fontId="5" numFmtId="0" xfId="0" applyAlignment="1" applyFont="1">
      <alignment horizontal="center"/>
    </xf>
    <xf borderId="0" fillId="0" fontId="5" numFmtId="9" xfId="0" applyAlignment="1" applyFont="1" applyNumberFormat="1">
      <alignment horizontal="center"/>
    </xf>
    <xf borderId="0" fillId="0" fontId="5" numFmtId="0" xfId="0" applyAlignment="1" applyFont="1">
      <alignment shrinkToFit="0" wrapText="1"/>
    </xf>
    <xf borderId="0" fillId="4" fontId="6" numFmtId="0" xfId="0" applyFill="1" applyFont="1"/>
    <xf borderId="0" fillId="4" fontId="6" numFmtId="0" xfId="0" applyAlignment="1" applyFont="1">
      <alignment horizontal="center"/>
    </xf>
    <xf borderId="0" fillId="4" fontId="6" numFmtId="9" xfId="0" applyAlignment="1" applyFont="1" applyNumberFormat="1">
      <alignment horizontal="center"/>
    </xf>
    <xf borderId="0" fillId="4" fontId="6" numFmtId="0" xfId="0" applyAlignment="1" applyFont="1">
      <alignment shrinkToFit="0" wrapText="1"/>
    </xf>
    <xf borderId="0" fillId="5" fontId="7" numFmtId="0" xfId="0" applyAlignment="1" applyFill="1" applyFont="1">
      <alignment vertical="center"/>
    </xf>
    <xf borderId="0" fillId="6" fontId="7" numFmtId="0" xfId="0" applyAlignment="1" applyFill="1" applyFont="1">
      <alignment vertical="center"/>
    </xf>
    <xf borderId="0" fillId="7" fontId="7" numFmtId="0" xfId="0" applyAlignment="1" applyFill="1" applyFont="1">
      <alignment vertical="center"/>
    </xf>
    <xf borderId="0" fillId="8" fontId="7" numFmtId="0" xfId="0" applyAlignment="1" applyFill="1" applyFont="1">
      <alignment vertical="center"/>
    </xf>
    <xf borderId="0" fillId="9" fontId="7" numFmtId="0" xfId="0" applyAlignment="1" applyFill="1" applyFont="1">
      <alignment vertical="center"/>
    </xf>
    <xf borderId="0" fillId="2" fontId="8" numFmtId="0" xfId="0" applyAlignment="1" applyFont="1">
      <alignment horizontal="center" vertical="center"/>
    </xf>
    <xf borderId="0" fillId="3" fontId="2" numFmtId="0" xfId="0" applyAlignment="1" applyFont="1">
      <alignment horizontal="center" shrinkToFit="0" vertical="center" wrapText="1"/>
    </xf>
    <xf borderId="0" fillId="10" fontId="9" numFmtId="0" xfId="0" applyAlignment="1" applyFill="1" applyFont="1">
      <alignment horizontal="center" shrinkToFit="0" vertical="center" wrapText="0"/>
    </xf>
    <xf borderId="0" fillId="10" fontId="9" numFmtId="164" xfId="0" applyAlignment="1" applyFont="1" applyNumberFormat="1">
      <alignment horizontal="center" shrinkToFit="0" vertical="center" wrapText="0"/>
    </xf>
    <xf borderId="0" fillId="10" fontId="9" numFmtId="0" xfId="0" applyAlignment="1" applyFont="1">
      <alignment horizontal="left" shrinkToFit="0" vertical="center" wrapText="0"/>
    </xf>
    <xf borderId="0" fillId="10" fontId="9" numFmtId="49" xfId="0" applyAlignment="1" applyFont="1" applyNumberFormat="1">
      <alignment horizontal="center" shrinkToFit="0" vertical="center" wrapText="0"/>
    </xf>
    <xf borderId="0" fillId="8" fontId="10" numFmtId="2" xfId="0" applyAlignment="1" applyFont="1" applyNumberFormat="1">
      <alignment horizontal="center" shrinkToFit="0" vertical="bottom" wrapText="1"/>
    </xf>
    <xf borderId="0" fillId="7" fontId="11" numFmtId="2" xfId="0" applyAlignment="1" applyFont="1" applyNumberFormat="1">
      <alignment horizontal="center" shrinkToFit="0" vertical="bottom" wrapText="1"/>
    </xf>
    <xf borderId="0" fillId="6" fontId="12" numFmtId="2" xfId="0" applyAlignment="1" applyFont="1" applyNumberFormat="1">
      <alignment horizontal="center" shrinkToFit="0" vertical="bottom" wrapText="1"/>
    </xf>
    <xf borderId="0" fillId="10" fontId="9" numFmtId="2" xfId="0" applyAlignment="1" applyFont="1" applyNumberFormat="1">
      <alignment horizontal="center" shrinkToFit="0" vertical="center" wrapText="0"/>
    </xf>
    <xf borderId="0" fillId="11" fontId="9" numFmtId="0" xfId="0" applyAlignment="1" applyFill="1" applyFont="1">
      <alignment horizontal="center" shrinkToFit="0" vertical="center" wrapText="0"/>
    </xf>
    <xf borderId="0" fillId="11" fontId="9" numFmtId="164" xfId="0" applyAlignment="1" applyFont="1" applyNumberFormat="1">
      <alignment horizontal="center" shrinkToFit="0" vertical="center" wrapText="0"/>
    </xf>
    <xf borderId="0" fillId="11" fontId="9" numFmtId="0" xfId="0" applyAlignment="1" applyFont="1">
      <alignment horizontal="left" shrinkToFit="0" vertical="center" wrapText="0"/>
    </xf>
    <xf borderId="0" fillId="11" fontId="9" numFmtId="49" xfId="0" applyAlignment="1" applyFont="1" applyNumberFormat="1">
      <alignment horizontal="center" shrinkToFit="0" vertical="center" wrapText="0"/>
    </xf>
    <xf borderId="0" fillId="6" fontId="12" numFmtId="2" xfId="0" applyAlignment="1" applyFont="1" applyNumberFormat="1">
      <alignment horizontal="center" shrinkToFit="0" wrapText="1"/>
    </xf>
    <xf borderId="0" fillId="8" fontId="10" numFmtId="2" xfId="0" applyAlignment="1" applyFont="1" applyNumberFormat="1">
      <alignment horizontal="center" shrinkToFit="0" wrapText="1"/>
    </xf>
    <xf borderId="0" fillId="7" fontId="11" numFmtId="2" xfId="0" applyAlignment="1" applyFont="1" applyNumberFormat="1">
      <alignment horizontal="center" shrinkToFit="0" wrapText="1"/>
    </xf>
    <xf borderId="0" fillId="11" fontId="9" numFmtId="2" xfId="0" applyAlignment="1" applyFont="1" applyNumberFormat="1">
      <alignment horizontal="center" shrinkToFit="0" vertical="center" wrapText="0"/>
    </xf>
    <xf borderId="0" fillId="12" fontId="5" numFmtId="2" xfId="0" applyAlignment="1" applyFill="1" applyFont="1" applyNumberFormat="1">
      <alignment horizontal="center"/>
    </xf>
    <xf borderId="0" fillId="5" fontId="13" numFmtId="2" xfId="0" applyAlignment="1" applyFont="1" applyNumberFormat="1">
      <alignment horizontal="center" shrinkToFit="0" wrapText="1"/>
    </xf>
    <xf borderId="0" fillId="9" fontId="14" numFmtId="2" xfId="0" applyAlignment="1" applyFont="1" applyNumberFormat="1">
      <alignment horizontal="center" shrinkToFit="0" wrapText="1"/>
    </xf>
    <xf borderId="0" fillId="11" fontId="9" numFmtId="0" xfId="0" applyAlignment="1" applyFont="1">
      <alignment horizontal="left" readingOrder="0" shrinkToFit="0" vertical="center" wrapText="0"/>
    </xf>
    <xf borderId="0" fillId="11" fontId="9" numFmtId="2" xfId="0" applyAlignment="1" applyFont="1" applyNumberFormat="1">
      <alignment horizontal="center" readingOrder="0" shrinkToFit="0" vertical="center" wrapText="0"/>
    </xf>
    <xf borderId="0" fillId="10" fontId="9" numFmtId="0" xfId="0" applyAlignment="1" applyFont="1">
      <alignment horizontal="left" readingOrder="0" shrinkToFit="0" vertical="center" wrapText="0"/>
    </xf>
    <xf borderId="0" fillId="10" fontId="9" numFmtId="2" xfId="0" applyAlignment="1" applyFont="1" applyNumberFormat="1">
      <alignment horizontal="center" readingOrder="0" shrinkToFit="0" vertical="center" wrapText="0"/>
    </xf>
    <xf borderId="0" fillId="10" fontId="9" numFmtId="49" xfId="0" applyAlignment="1" applyFont="1" applyNumberFormat="1">
      <alignment horizontal="center" readingOrder="0" shrinkToFit="0" vertical="center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b/>
        <color rgb="FF4C1D95"/>
      </font>
      <fill>
        <patternFill patternType="solid">
          <fgColor rgb="FFEDE9FE"/>
          <bgColor rgb="FFEDE9FE"/>
        </patternFill>
      </fill>
      <border/>
    </dxf>
    <dxf>
      <font>
        <b/>
        <color rgb="FF991B1B"/>
      </font>
      <fill>
        <patternFill patternType="solid">
          <fgColor rgb="FFFEE2E2"/>
          <bgColor rgb="FFFEE2E2"/>
        </patternFill>
      </fill>
      <border/>
    </dxf>
    <dxf>
      <font>
        <b/>
        <color rgb="FF92400E"/>
      </font>
      <fill>
        <patternFill patternType="solid">
          <fgColor rgb="FFFEF3C7"/>
          <bgColor rgb="FFFEF3C7"/>
        </patternFill>
      </fill>
      <border/>
    </dxf>
    <dxf>
      <font>
        <b/>
        <color rgb="FF1E40AF"/>
      </font>
      <fill>
        <patternFill patternType="solid">
          <fgColor rgb="FFDBEAFE"/>
          <bgColor rgb="FFDBEAFE"/>
        </patternFill>
      </fill>
      <border/>
    </dxf>
    <dxf>
      <font>
        <b/>
        <color rgb="FF166534"/>
      </font>
      <fill>
        <patternFill patternType="solid">
          <fgColor rgb="FFDCFCE7"/>
          <bgColor rgb="FFDCFCE7"/>
        </patternFill>
      </fill>
      <border/>
    </dxf>
  </dxfs>
  <tableStyles count="7">
    <tableStyle count="3" pivot="0" name="Fase de grupos-style">
      <tableStyleElement dxfId="1" type="headerRow"/>
      <tableStyleElement dxfId="2" type="firstRowStripe"/>
      <tableStyleElement dxfId="3" type="secondRowStripe"/>
    </tableStyle>
    <tableStyle count="3" pivot="0" name="16 avos-style">
      <tableStyleElement dxfId="1" type="headerRow"/>
      <tableStyleElement dxfId="2" type="firstRowStripe"/>
      <tableStyleElement dxfId="3" type="secondRowStripe"/>
    </tableStyle>
    <tableStyle count="3" pivot="0" name="Oitavas de final-style">
      <tableStyleElement dxfId="1" type="headerRow"/>
      <tableStyleElement dxfId="2" type="firstRowStripe"/>
      <tableStyleElement dxfId="3" type="secondRowStripe"/>
    </tableStyle>
    <tableStyle count="3" pivot="0" name="Quartas de final-style">
      <tableStyleElement dxfId="1" type="headerRow"/>
      <tableStyleElement dxfId="2" type="firstRowStripe"/>
      <tableStyleElement dxfId="3" type="secondRowStripe"/>
    </tableStyle>
    <tableStyle count="3" pivot="0" name="Semifinais-style">
      <tableStyleElement dxfId="1" type="headerRow"/>
      <tableStyleElement dxfId="2" type="firstRowStripe"/>
      <tableStyleElement dxfId="3" type="secondRowStripe"/>
    </tableStyle>
    <tableStyle count="3" pivot="0" name="3º lugar-style">
      <tableStyleElement dxfId="1" type="headerRow"/>
      <tableStyleElement dxfId="2" type="firstRowStripe"/>
      <tableStyleElement dxfId="3" type="secondRowStripe"/>
    </tableStyle>
    <tableStyle count="3" pivot="0" name="Final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K74" displayName="Table_1" name="Table_1" id="1">
  <tableColumns count="11">
    <tableColumn name="Número da partida" id="1"/>
    <tableColumn name="Data" id="2"/>
    <tableColumn name="Hora (BRT)" id="3"/>
    <tableColumn name="Partida" id="4"/>
    <tableColumn name="Placar" id="5"/>
    <tableColumn name="1º tempo" id="6"/>
    <tableColumn name="2º tempo" id="7"/>
    <tableColumn name="Lá e cá" id="8"/>
    <tableColumn name="Emoção" id="9"/>
    <tableColumn name="Componente histórico" id="10"/>
    <tableColumn name="Nota final" id="11"/>
  </tableColumns>
  <tableStyleInfo name="Fase de grupos-style" showColumnStripes="0" showFirstColumn="1" showLastColumn="1" showRowStripes="1"/>
</table>
</file>

<file path=xl/tables/table2.xml><?xml version="1.0" encoding="utf-8"?>
<table xmlns="http://schemas.openxmlformats.org/spreadsheetml/2006/main" ref="A2:K18" displayName="Table_2" name="Table_2" id="2">
  <tableColumns count="11">
    <tableColumn name="Número da partida" id="1"/>
    <tableColumn name="Data" id="2"/>
    <tableColumn name="Hora (BRT)" id="3"/>
    <tableColumn name="Partida" id="4"/>
    <tableColumn name="Placar" id="5"/>
    <tableColumn name="1º tempo" id="6"/>
    <tableColumn name="2º tempo" id="7"/>
    <tableColumn name="Lá e cá" id="8"/>
    <tableColumn name="Emoção" id="9"/>
    <tableColumn name="Componente histórico" id="10"/>
    <tableColumn name="Nota final" id="11"/>
  </tableColumns>
  <tableStyleInfo name="16 avos-style" showColumnStripes="0" showFirstColumn="1" showLastColumn="1" showRowStripes="1"/>
</table>
</file>

<file path=xl/tables/table3.xml><?xml version="1.0" encoding="utf-8"?>
<table xmlns="http://schemas.openxmlformats.org/spreadsheetml/2006/main" ref="A2:K10" displayName="Table_3" name="Table_3" id="3">
  <tableColumns count="11">
    <tableColumn name="Número da partida" id="1"/>
    <tableColumn name="Data" id="2"/>
    <tableColumn name="Hora (BRT)" id="3"/>
    <tableColumn name="Partida" id="4"/>
    <tableColumn name="Placar" id="5"/>
    <tableColumn name="1º tempo" id="6"/>
    <tableColumn name="2º tempo" id="7"/>
    <tableColumn name="Lá e cá" id="8"/>
    <tableColumn name="Emoção" id="9"/>
    <tableColumn name="Componente histórico" id="10"/>
    <tableColumn name="Nota final" id="11"/>
  </tableColumns>
  <tableStyleInfo name="Oitavas de final-style" showColumnStripes="0" showFirstColumn="1" showLastColumn="1" showRowStripes="1"/>
</table>
</file>

<file path=xl/tables/table4.xml><?xml version="1.0" encoding="utf-8"?>
<table xmlns="http://schemas.openxmlformats.org/spreadsheetml/2006/main" ref="A2:K6" displayName="Table_4" name="Table_4" id="4">
  <tableColumns count="11">
    <tableColumn name="Número da partida" id="1"/>
    <tableColumn name="Data" id="2"/>
    <tableColumn name="Hora (BRT)" id="3"/>
    <tableColumn name="Partida" id="4"/>
    <tableColumn name="Placar" id="5"/>
    <tableColumn name="1º tempo" id="6"/>
    <tableColumn name="2º tempo" id="7"/>
    <tableColumn name="Lá e cá" id="8"/>
    <tableColumn name="Emoção" id="9"/>
    <tableColumn name="Componente histórico" id="10"/>
    <tableColumn name="Nota final" id="11"/>
  </tableColumns>
  <tableStyleInfo name="Quartas de final-style" showColumnStripes="0" showFirstColumn="1" showLastColumn="1" showRowStripes="1"/>
</table>
</file>

<file path=xl/tables/table5.xml><?xml version="1.0" encoding="utf-8"?>
<table xmlns="http://schemas.openxmlformats.org/spreadsheetml/2006/main" ref="A2:K4" displayName="Table_5" name="Table_5" id="5">
  <tableColumns count="11">
    <tableColumn name="Número da partida" id="1"/>
    <tableColumn name="Data" id="2"/>
    <tableColumn name="Hora (BRT)" id="3"/>
    <tableColumn name="Partida" id="4"/>
    <tableColumn name="Placar" id="5"/>
    <tableColumn name="1º tempo" id="6"/>
    <tableColumn name="2º tempo" id="7"/>
    <tableColumn name="Lá e cá" id="8"/>
    <tableColumn name="Emoção" id="9"/>
    <tableColumn name="Componente histórico" id="10"/>
    <tableColumn name="Nota final" id="11"/>
  </tableColumns>
  <tableStyleInfo name="Semifinais-style" showColumnStripes="0" showFirstColumn="1" showLastColumn="1" showRowStripes="1"/>
</table>
</file>

<file path=xl/tables/table6.xml><?xml version="1.0" encoding="utf-8"?>
<table xmlns="http://schemas.openxmlformats.org/spreadsheetml/2006/main" ref="A2:K3" displayName="Table_6" name="Table_6" id="6">
  <tableColumns count="11">
    <tableColumn name="Número da partida" id="1"/>
    <tableColumn name="Data" id="2"/>
    <tableColumn name="Hora (BRT)" id="3"/>
    <tableColumn name="Partida" id="4"/>
    <tableColumn name="Placar" id="5"/>
    <tableColumn name="1º tempo" id="6"/>
    <tableColumn name="2º tempo" id="7"/>
    <tableColumn name="Lá e cá" id="8"/>
    <tableColumn name="Emoção" id="9"/>
    <tableColumn name="Componente histórico" id="10"/>
    <tableColumn name="Nota final" id="11"/>
  </tableColumns>
  <tableStyleInfo name="3º lugar-style" showColumnStripes="0" showFirstColumn="1" showLastColumn="1" showRowStripes="1"/>
</table>
</file>

<file path=xl/tables/table7.xml><?xml version="1.0" encoding="utf-8"?>
<table xmlns="http://schemas.openxmlformats.org/spreadsheetml/2006/main" ref="A2:K3" displayName="Table_7" name="Table_7" id="7">
  <tableColumns count="11">
    <tableColumn name="Número da partida" id="1"/>
    <tableColumn name="Data" id="2"/>
    <tableColumn name="Hora (BRT)" id="3"/>
    <tableColumn name="Partida" id="4"/>
    <tableColumn name="Placar" id="5"/>
    <tableColumn name="1º tempo" id="6"/>
    <tableColumn name="2º tempo" id="7"/>
    <tableColumn name="Lá e cá" id="8"/>
    <tableColumn name="Emoção" id="9"/>
    <tableColumn name="Componente histórico" id="10"/>
    <tableColumn name="Nota final" id="11"/>
  </tableColumns>
  <tableStyleInfo name="Fin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1.63"/>
    <col customWidth="1" min="2" max="2" width="9.38"/>
    <col customWidth="1" min="3" max="3" width="8.63"/>
    <col customWidth="1" min="4" max="4" width="12.38"/>
    <col customWidth="1" min="5" max="5" width="6.75"/>
    <col customWidth="1" min="6" max="6" width="13.13"/>
  </cols>
  <sheetData>
    <row r="1" ht="30.0" customHeight="1">
      <c r="A1" s="1" t="s">
        <v>0</v>
      </c>
    </row>
    <row r="3">
      <c r="A3" s="2" t="s">
        <v>1</v>
      </c>
      <c r="B3" s="2" t="s">
        <v>2</v>
      </c>
      <c r="D3" s="2" t="s">
        <v>3</v>
      </c>
      <c r="E3" s="2" t="s">
        <v>4</v>
      </c>
      <c r="F3" s="2" t="s">
        <v>5</v>
      </c>
    </row>
    <row r="4">
      <c r="A4" s="3" t="s">
        <v>6</v>
      </c>
      <c r="B4" s="3">
        <v>104.0</v>
      </c>
      <c r="C4" s="3"/>
      <c r="D4" s="3" t="s">
        <v>7</v>
      </c>
      <c r="E4" s="3">
        <v>72.0</v>
      </c>
      <c r="F4" s="4">
        <f>IF(COUNT('Fase de grupos'!K3:K74)=0,"",ROUND(AVERAGE('Fase de grupos'!K3:K74),2))</f>
        <v>6.26</v>
      </c>
    </row>
    <row r="5">
      <c r="A5" s="3" t="s">
        <v>8</v>
      </c>
      <c r="B5" s="3">
        <f>COUNT('Fase de grupos'!K3:K74,'16 avos'!K3:K18,'Oitavas de final'!K3:K10,'Quartas de final'!K3:K6,Semifinais!K3:K4,'3º lugar'!K3,Final!K3)</f>
        <v>104</v>
      </c>
      <c r="C5" s="3"/>
      <c r="D5" s="3" t="s">
        <v>9</v>
      </c>
      <c r="E5" s="3">
        <v>16.0</v>
      </c>
      <c r="F5" s="4">
        <f>IF(COUNT('16 avos'!K3:K18)=0,"",ROUND(AVERAGE('16 avos'!K3:K18),2))</f>
        <v>7.28</v>
      </c>
    </row>
    <row r="6">
      <c r="A6" s="3" t="s">
        <v>10</v>
      </c>
      <c r="B6" s="4">
        <f>IF(B5=0,"",ROUND(SUM('Fase de grupos'!K3:K74,'16 avos'!K3:K18,'Oitavas de final'!K3:K10,'Quartas de final'!K3:K6,Semifinais!K3:K4,'3º lugar'!K3,Final!K3)/B5,2))</f>
        <v>6.65</v>
      </c>
      <c r="C6" s="3"/>
      <c r="D6" s="3" t="s">
        <v>11</v>
      </c>
      <c r="E6" s="3">
        <v>8.0</v>
      </c>
      <c r="F6" s="4">
        <f>IF(COUNT('Oitavas de final'!K3:K10)=0,"",ROUND(AVERAGE('Oitavas de final'!K3:K10),2))</f>
        <v>7.77</v>
      </c>
    </row>
    <row r="7">
      <c r="A7" s="3" t="s">
        <v>12</v>
      </c>
      <c r="B7" s="4">
        <f>IF(B5=0,"",MAX('Fase de grupos'!K3:K74,'16 avos'!K3:K18,'Oitavas de final'!K3:K10,'Quartas de final'!K3:K6,Semifinais!K3:K4,'3º lugar'!K3,Final!K3))</f>
        <v>9.63</v>
      </c>
      <c r="C7" s="3"/>
      <c r="D7" s="3" t="s">
        <v>13</v>
      </c>
      <c r="E7" s="3">
        <v>4.0</v>
      </c>
      <c r="F7" s="4">
        <f>IF(COUNT('Quartas de final'!K3:K6)=0,"",ROUND(AVERAGE('Quartas de final'!K3:K6),2))</f>
        <v>7.32</v>
      </c>
    </row>
    <row r="8">
      <c r="A8" s="3" t="s">
        <v>14</v>
      </c>
      <c r="B8" s="4">
        <f>IF(B5=0,"",MIN('Fase de grupos'!K3:K74,'16 avos'!K3:K18,'Oitavas de final'!K3:K10,'Quartas de final'!K3:K6,Semifinais!K3:K4,'3º lugar'!K3,Final!K3))</f>
        <v>1.25</v>
      </c>
      <c r="C8" s="3"/>
      <c r="D8" s="3" t="s">
        <v>15</v>
      </c>
      <c r="E8" s="3">
        <v>2.0</v>
      </c>
      <c r="F8" s="4">
        <f>IF(COUNT(Semifinais!K3:K4)=0,"",ROUND(AVERAGE(Semifinais!K3:K4),2))</f>
        <v>8.38</v>
      </c>
    </row>
    <row r="9">
      <c r="A9" s="3" t="s">
        <v>16</v>
      </c>
      <c r="B9" s="5">
        <v>46190.0</v>
      </c>
      <c r="C9" s="3"/>
      <c r="D9" s="3" t="s">
        <v>17</v>
      </c>
      <c r="E9" s="3">
        <v>1.0</v>
      </c>
      <c r="F9" s="4">
        <f>IF(COUNT('3º lugar'!K3)=0,"",ROUND(AVERAGE('3º lugar'!K3),2))</f>
        <v>9.1</v>
      </c>
    </row>
    <row r="10">
      <c r="A10" s="3"/>
      <c r="B10" s="3"/>
      <c r="C10" s="3"/>
      <c r="D10" s="3" t="s">
        <v>18</v>
      </c>
      <c r="E10" s="3">
        <v>1.0</v>
      </c>
      <c r="F10" s="4">
        <f>IF(COUNT(Final!K3)=0,"",ROUND(AVERAGE(Final!K3),2))</f>
        <v>7.15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10.0"/>
    <col customWidth="1" min="3" max="3" width="14.75"/>
    <col customWidth="1" min="4" max="4" width="26.63"/>
    <col customWidth="1" min="5" max="6" width="8.63"/>
  </cols>
  <sheetData>
    <row r="1" ht="30.0" customHeight="1">
      <c r="A1" s="1" t="s">
        <v>19</v>
      </c>
    </row>
    <row r="2">
      <c r="A2" s="2" t="s">
        <v>20</v>
      </c>
      <c r="B2" s="2" t="s">
        <v>21</v>
      </c>
      <c r="C2" s="2" t="s">
        <v>22</v>
      </c>
      <c r="D2" s="2" t="s">
        <v>23</v>
      </c>
    </row>
    <row r="3">
      <c r="A3" s="6" t="s">
        <v>24</v>
      </c>
      <c r="B3" s="7">
        <v>2.5</v>
      </c>
      <c r="C3" s="8">
        <v>0.25</v>
      </c>
      <c r="D3" s="9" t="s">
        <v>25</v>
      </c>
    </row>
    <row r="4">
      <c r="A4" s="6" t="s">
        <v>26</v>
      </c>
      <c r="B4" s="7">
        <v>2.5</v>
      </c>
      <c r="C4" s="8">
        <v>0.25</v>
      </c>
      <c r="D4" s="9" t="s">
        <v>27</v>
      </c>
    </row>
    <row r="5">
      <c r="A5" s="6" t="s">
        <v>28</v>
      </c>
      <c r="B5" s="7">
        <v>2.0</v>
      </c>
      <c r="C5" s="8">
        <v>0.2</v>
      </c>
      <c r="D5" s="9" t="s">
        <v>29</v>
      </c>
    </row>
    <row r="6">
      <c r="A6" s="6" t="s">
        <v>30</v>
      </c>
      <c r="B6" s="7">
        <v>2.0</v>
      </c>
      <c r="C6" s="8">
        <v>0.2</v>
      </c>
      <c r="D6" s="9" t="s">
        <v>31</v>
      </c>
    </row>
    <row r="7">
      <c r="A7" s="6" t="s">
        <v>32</v>
      </c>
      <c r="B7" s="7">
        <v>1.0</v>
      </c>
      <c r="C7" s="8">
        <v>0.1</v>
      </c>
      <c r="D7" s="9" t="s">
        <v>33</v>
      </c>
    </row>
    <row r="8">
      <c r="A8" s="10" t="s">
        <v>34</v>
      </c>
      <c r="B8" s="11">
        <v>10.0</v>
      </c>
      <c r="C8" s="12">
        <v>1.0</v>
      </c>
      <c r="D8" s="13"/>
    </row>
    <row r="11">
      <c r="A11" s="2" t="s">
        <v>35</v>
      </c>
      <c r="B11" s="2" t="s">
        <v>36</v>
      </c>
      <c r="C11" s="2" t="s">
        <v>37</v>
      </c>
      <c r="D11" s="2" t="s">
        <v>38</v>
      </c>
    </row>
    <row r="12">
      <c r="A12" s="3" t="s">
        <v>39</v>
      </c>
      <c r="B12" s="3" t="s">
        <v>40</v>
      </c>
      <c r="C12" s="14"/>
      <c r="D12" s="3" t="s">
        <v>41</v>
      </c>
    </row>
    <row r="13">
      <c r="A13" s="3" t="s">
        <v>39</v>
      </c>
      <c r="B13" s="3" t="s">
        <v>42</v>
      </c>
      <c r="C13" s="15"/>
      <c r="D13" s="3" t="s">
        <v>41</v>
      </c>
    </row>
    <row r="14">
      <c r="A14" s="3" t="s">
        <v>39</v>
      </c>
      <c r="B14" s="3" t="s">
        <v>43</v>
      </c>
      <c r="C14" s="16"/>
      <c r="D14" s="3" t="s">
        <v>41</v>
      </c>
    </row>
    <row r="15">
      <c r="A15" s="3" t="s">
        <v>39</v>
      </c>
      <c r="B15" s="3" t="s">
        <v>44</v>
      </c>
      <c r="C15" s="17"/>
      <c r="D15" s="3" t="s">
        <v>41</v>
      </c>
    </row>
    <row r="16">
      <c r="A16" s="3" t="s">
        <v>39</v>
      </c>
      <c r="B16" s="3" t="s">
        <v>45</v>
      </c>
      <c r="C16" s="18"/>
      <c r="D16" s="3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0"/>
    <col customWidth="1" min="3" max="3" width="11.0"/>
    <col customWidth="1" min="4" max="4" width="38.0"/>
    <col customWidth="1" min="5" max="5" width="10.0"/>
    <col customWidth="1" min="6" max="9" width="12.0"/>
    <col customWidth="1" min="10" max="10" width="20.0"/>
    <col customWidth="1" min="11" max="11" width="12.0"/>
  </cols>
  <sheetData>
    <row r="1" ht="27.75" customHeight="1">
      <c r="A1" s="19" t="s">
        <v>7</v>
      </c>
    </row>
    <row r="2" ht="36.0" customHeight="1">
      <c r="A2" s="20" t="s">
        <v>46</v>
      </c>
      <c r="B2" s="20" t="s">
        <v>47</v>
      </c>
      <c r="C2" s="20" t="s">
        <v>48</v>
      </c>
      <c r="D2" s="20" t="s">
        <v>49</v>
      </c>
      <c r="E2" s="20" t="s">
        <v>50</v>
      </c>
      <c r="F2" s="20" t="s">
        <v>24</v>
      </c>
      <c r="G2" s="20" t="s">
        <v>26</v>
      </c>
      <c r="H2" s="20" t="s">
        <v>28</v>
      </c>
      <c r="I2" s="20" t="s">
        <v>30</v>
      </c>
      <c r="J2" s="20" t="s">
        <v>32</v>
      </c>
      <c r="K2" s="20" t="s">
        <v>51</v>
      </c>
    </row>
    <row r="3">
      <c r="A3" s="21">
        <v>1.0</v>
      </c>
      <c r="B3" s="22">
        <v>46184.0</v>
      </c>
      <c r="C3" s="21" t="s">
        <v>52</v>
      </c>
      <c r="D3" s="23" t="s">
        <v>53</v>
      </c>
      <c r="E3" s="24" t="s">
        <v>54</v>
      </c>
      <c r="F3" s="25">
        <v>7.0</v>
      </c>
      <c r="G3" s="26">
        <v>5.0</v>
      </c>
      <c r="H3" s="27">
        <v>4.0</v>
      </c>
      <c r="I3" s="26">
        <v>6.0</v>
      </c>
      <c r="J3" s="25">
        <v>8.0</v>
      </c>
      <c r="K3" s="28">
        <f>IF(COUNT(F3:J3)&lt;5,"",ROUND((F3*Quesitos!$B$3+G3*Quesitos!$B$4+H3*Quesitos!$B$5+I3*Quesitos!$B$6+J3*Quesitos!$B$7)/SUM(Quesitos!$B$3:$B$7),2))</f>
        <v>5.8</v>
      </c>
    </row>
    <row r="4">
      <c r="A4" s="29">
        <v>2.0</v>
      </c>
      <c r="B4" s="30">
        <v>46184.0</v>
      </c>
      <c r="C4" s="29" t="s">
        <v>55</v>
      </c>
      <c r="D4" s="31" t="s">
        <v>56</v>
      </c>
      <c r="E4" s="32" t="s">
        <v>57</v>
      </c>
      <c r="F4" s="33">
        <v>3.0</v>
      </c>
      <c r="G4" s="34">
        <v>8.0</v>
      </c>
      <c r="H4" s="35">
        <v>6.0</v>
      </c>
      <c r="I4" s="34">
        <v>7.0</v>
      </c>
      <c r="J4" s="35">
        <v>5.0</v>
      </c>
      <c r="K4" s="36">
        <f>IF(COUNT(F4:J4)&lt;5,"",ROUND((F4*Quesitos!$B$3+G4*Quesitos!$B$4+H4*Quesitos!$B$5+I4*Quesitos!$B$6+J4*Quesitos!$B$7)/SUM(Quesitos!$B$3:$B$7),2))</f>
        <v>5.85</v>
      </c>
    </row>
    <row r="5">
      <c r="A5" s="21">
        <v>3.0</v>
      </c>
      <c r="B5" s="22">
        <v>46185.0</v>
      </c>
      <c r="C5" s="21" t="s">
        <v>52</v>
      </c>
      <c r="D5" s="23" t="s">
        <v>58</v>
      </c>
      <c r="E5" s="24" t="s">
        <v>59</v>
      </c>
      <c r="F5" s="37">
        <v>5.0</v>
      </c>
      <c r="G5" s="37">
        <v>5.0</v>
      </c>
      <c r="H5" s="37">
        <v>6.0</v>
      </c>
      <c r="I5" s="37">
        <v>5.0</v>
      </c>
      <c r="J5" s="37">
        <v>6.0</v>
      </c>
      <c r="K5" s="28">
        <f>IF(COUNT(F5:J5)&lt;5,"",ROUND((F5*Quesitos!$B$3+G5*Quesitos!$B$4+H5*Quesitos!$B$5+I5*Quesitos!$B$6+J5*Quesitos!$B$7)/SUM(Quesitos!$B$3:$B$7),2))</f>
        <v>5.3</v>
      </c>
    </row>
    <row r="6">
      <c r="A6" s="29">
        <v>4.0</v>
      </c>
      <c r="B6" s="30">
        <v>46185.0</v>
      </c>
      <c r="C6" s="29" t="s">
        <v>60</v>
      </c>
      <c r="D6" s="31" t="s">
        <v>61</v>
      </c>
      <c r="E6" s="32" t="s">
        <v>62</v>
      </c>
      <c r="F6" s="34">
        <v>8.0</v>
      </c>
      <c r="G6" s="33">
        <v>5.0</v>
      </c>
      <c r="H6" s="38">
        <v>4.0</v>
      </c>
      <c r="I6" s="33">
        <v>5.0</v>
      </c>
      <c r="J6" s="34">
        <v>7.0</v>
      </c>
      <c r="K6" s="36">
        <f>IF(COUNT(F6:J6)&lt;5,"",ROUND((F6*Quesitos!$B$3+G6*Quesitos!$B$4+H6*Quesitos!$B$5+I6*Quesitos!$B$6+J6*Quesitos!$B$7)/SUM(Quesitos!$B$3:$B$7),2))</f>
        <v>5.75</v>
      </c>
    </row>
    <row r="7">
      <c r="A7" s="21">
        <v>8.0</v>
      </c>
      <c r="B7" s="22">
        <v>46186.0</v>
      </c>
      <c r="C7" s="21" t="s">
        <v>52</v>
      </c>
      <c r="D7" s="23" t="s">
        <v>63</v>
      </c>
      <c r="E7" s="24" t="s">
        <v>59</v>
      </c>
      <c r="F7" s="33">
        <v>3.0</v>
      </c>
      <c r="G7" s="33">
        <v>3.0</v>
      </c>
      <c r="H7" s="35">
        <v>5.0</v>
      </c>
      <c r="I7" s="39">
        <v>9.0</v>
      </c>
      <c r="J7" s="35">
        <v>6.0</v>
      </c>
      <c r="K7" s="28">
        <f>IF(COUNT(F7:J7)&lt;5,"",ROUND((F7*Quesitos!$B$3+G7*Quesitos!$B$4+H7*Quesitos!$B$5+I7*Quesitos!$B$6+J7*Quesitos!$B$7)/SUM(Quesitos!$B$3:$B$7),2))</f>
        <v>4.9</v>
      </c>
    </row>
    <row r="8">
      <c r="A8" s="29">
        <v>7.0</v>
      </c>
      <c r="B8" s="30">
        <v>46186.0</v>
      </c>
      <c r="C8" s="29" t="s">
        <v>64</v>
      </c>
      <c r="D8" s="31" t="s">
        <v>65</v>
      </c>
      <c r="E8" s="32" t="s">
        <v>59</v>
      </c>
      <c r="F8" s="34">
        <v>7.0</v>
      </c>
      <c r="G8" s="33">
        <v>4.0</v>
      </c>
      <c r="H8" s="34">
        <v>8.0</v>
      </c>
      <c r="I8" s="35">
        <v>6.0</v>
      </c>
      <c r="J8" s="33">
        <v>3.0</v>
      </c>
      <c r="K8" s="36">
        <f>IF(COUNT(F8:J8)&lt;5,"",ROUND((F8*Quesitos!$B$3+G8*Quesitos!$B$4+H8*Quesitos!$B$5+I8*Quesitos!$B$6+J8*Quesitos!$B$7)/SUM(Quesitos!$B$3:$B$7),2))</f>
        <v>5.85</v>
      </c>
    </row>
    <row r="9">
      <c r="A9" s="21">
        <v>5.0</v>
      </c>
      <c r="B9" s="22">
        <v>46186.0</v>
      </c>
      <c r="C9" s="21" t="s">
        <v>60</v>
      </c>
      <c r="D9" s="23" t="s">
        <v>66</v>
      </c>
      <c r="E9" s="24" t="s">
        <v>67</v>
      </c>
      <c r="F9" s="28">
        <v>5.0</v>
      </c>
      <c r="G9" s="28">
        <v>6.0</v>
      </c>
      <c r="H9" s="28">
        <v>6.0</v>
      </c>
      <c r="I9" s="28">
        <v>7.0</v>
      </c>
      <c r="J9" s="28">
        <v>5.5</v>
      </c>
      <c r="K9" s="28">
        <f>IF(COUNT(F9:J9)&lt;5,"",ROUND((F9*Quesitos!$B$3+G9*Quesitos!$B$4+H9*Quesitos!$B$5+I9*Quesitos!$B$6+J9*Quesitos!$B$7)/SUM(Quesitos!$B$3:$B$7),2))</f>
        <v>5.9</v>
      </c>
    </row>
    <row r="10">
      <c r="A10" s="29">
        <v>6.0</v>
      </c>
      <c r="B10" s="30">
        <v>46187.0</v>
      </c>
      <c r="C10" s="29" t="s">
        <v>68</v>
      </c>
      <c r="D10" s="31" t="s">
        <v>69</v>
      </c>
      <c r="E10" s="32" t="s">
        <v>54</v>
      </c>
      <c r="F10" s="36">
        <v>6.0</v>
      </c>
      <c r="G10" s="36">
        <v>6.0</v>
      </c>
      <c r="H10" s="36">
        <v>6.0</v>
      </c>
      <c r="I10" s="36">
        <v>7.0</v>
      </c>
      <c r="J10" s="36">
        <v>4.0</v>
      </c>
      <c r="K10" s="36">
        <f>IF(COUNT(F10:J10)&lt;5,"",ROUND((F10*Quesitos!$B$3+G10*Quesitos!$B$4+H10*Quesitos!$B$5+I10*Quesitos!$B$6+J10*Quesitos!$B$7)/SUM(Quesitos!$B$3:$B$7),2))</f>
        <v>6</v>
      </c>
    </row>
    <row r="11">
      <c r="A11" s="21">
        <v>10.0</v>
      </c>
      <c r="B11" s="22">
        <v>46187.0</v>
      </c>
      <c r="C11" s="21" t="s">
        <v>70</v>
      </c>
      <c r="D11" s="23" t="s">
        <v>71</v>
      </c>
      <c r="E11" s="24" t="s">
        <v>72</v>
      </c>
      <c r="F11" s="28">
        <v>8.0</v>
      </c>
      <c r="G11" s="28">
        <v>7.0</v>
      </c>
      <c r="H11" s="28">
        <v>4.0</v>
      </c>
      <c r="I11" s="28">
        <v>3.0</v>
      </c>
      <c r="J11" s="28">
        <v>7.0</v>
      </c>
      <c r="K11" s="28">
        <f>IF(COUNT(F11:J11)&lt;5,"",ROUND((F11*Quesitos!$B$3+G11*Quesitos!$B$4+H11*Quesitos!$B$5+I11*Quesitos!$B$6+J11*Quesitos!$B$7)/SUM(Quesitos!$B$3:$B$7),2))</f>
        <v>5.85</v>
      </c>
    </row>
    <row r="12">
      <c r="A12" s="29">
        <v>11.0</v>
      </c>
      <c r="B12" s="30">
        <v>46187.0</v>
      </c>
      <c r="C12" s="29" t="s">
        <v>73</v>
      </c>
      <c r="D12" s="40" t="s">
        <v>74</v>
      </c>
      <c r="E12" s="32" t="s">
        <v>75</v>
      </c>
      <c r="F12" s="36">
        <v>7.0</v>
      </c>
      <c r="G12" s="36">
        <v>7.0</v>
      </c>
      <c r="H12" s="36">
        <v>9.0</v>
      </c>
      <c r="I12" s="36">
        <v>8.0</v>
      </c>
      <c r="J12" s="36">
        <v>5.0</v>
      </c>
      <c r="K12" s="36">
        <f>IF(COUNT(F12:J12)&lt;5,"",ROUND((F12*Quesitos!$B$3+G12*Quesitos!$B$4+H12*Quesitos!$B$5+I12*Quesitos!$B$6+J12*Quesitos!$B$7)/SUM(Quesitos!$B$3:$B$7),2))</f>
        <v>7.4</v>
      </c>
    </row>
    <row r="13">
      <c r="A13" s="21">
        <v>9.0</v>
      </c>
      <c r="B13" s="22">
        <v>46187.0</v>
      </c>
      <c r="C13" s="21" t="s">
        <v>76</v>
      </c>
      <c r="D13" s="23" t="s">
        <v>77</v>
      </c>
      <c r="E13" s="24" t="s">
        <v>78</v>
      </c>
      <c r="F13" s="28">
        <v>8.0</v>
      </c>
      <c r="G13" s="28">
        <v>8.0</v>
      </c>
      <c r="H13" s="28">
        <v>10.0</v>
      </c>
      <c r="I13" s="28">
        <v>8.0</v>
      </c>
      <c r="J13" s="28">
        <v>2.0</v>
      </c>
      <c r="K13" s="28">
        <f>IF(COUNT(F13:J13)&lt;5,"",ROUND((F13*Quesitos!$B$3+G13*Quesitos!$B$4+H13*Quesitos!$B$5+I13*Quesitos!$B$6+J13*Quesitos!$B$7)/SUM(Quesitos!$B$3:$B$7),2))</f>
        <v>7.8</v>
      </c>
    </row>
    <row r="14">
      <c r="A14" s="29">
        <v>12.0</v>
      </c>
      <c r="B14" s="30">
        <v>46187.0</v>
      </c>
      <c r="C14" s="29" t="s">
        <v>55</v>
      </c>
      <c r="D14" s="31" t="s">
        <v>79</v>
      </c>
      <c r="E14" s="32" t="s">
        <v>80</v>
      </c>
      <c r="F14" s="29">
        <v>7.5</v>
      </c>
      <c r="G14" s="36">
        <v>7.0</v>
      </c>
      <c r="H14" s="36">
        <v>5.0</v>
      </c>
      <c r="I14" s="36">
        <v>5.0</v>
      </c>
      <c r="J14" s="36">
        <v>2.0</v>
      </c>
      <c r="K14" s="36">
        <f>IF(COUNT(F14:J14)&lt;5,"",ROUND((F14*Quesitos!$B$3+G14*Quesitos!$B$4+H14*Quesitos!$B$5+I14*Quesitos!$B$6+J14*Quesitos!$B$7)/SUM(Quesitos!$B$3:$B$7),2))</f>
        <v>5.83</v>
      </c>
    </row>
    <row r="15">
      <c r="A15" s="21">
        <v>14.0</v>
      </c>
      <c r="B15" s="22">
        <v>46188.0</v>
      </c>
      <c r="C15" s="21" t="s">
        <v>81</v>
      </c>
      <c r="D15" s="23" t="s">
        <v>82</v>
      </c>
      <c r="E15" s="24" t="s">
        <v>83</v>
      </c>
      <c r="F15" s="28">
        <v>3.0</v>
      </c>
      <c r="G15" s="28">
        <v>7.0</v>
      </c>
      <c r="H15" s="28">
        <v>4.0</v>
      </c>
      <c r="I15" s="28">
        <v>10.0</v>
      </c>
      <c r="J15" s="28">
        <v>10.0</v>
      </c>
      <c r="K15" s="28">
        <f>IF(COUNT(F15:J15)&lt;5,"",ROUND((F15*Quesitos!$B$3+G15*Quesitos!$B$4+H15*Quesitos!$B$5+I15*Quesitos!$B$6+J15*Quesitos!$B$7)/SUM(Quesitos!$B$3:$B$7),2))</f>
        <v>6.3</v>
      </c>
    </row>
    <row r="16">
      <c r="A16" s="29">
        <v>16.0</v>
      </c>
      <c r="B16" s="30">
        <v>46188.0</v>
      </c>
      <c r="C16" s="29" t="s">
        <v>52</v>
      </c>
      <c r="D16" s="31" t="s">
        <v>84</v>
      </c>
      <c r="E16" s="32" t="s">
        <v>59</v>
      </c>
      <c r="F16" s="36">
        <v>5.0</v>
      </c>
      <c r="G16" s="36">
        <v>5.0</v>
      </c>
      <c r="H16" s="36">
        <v>6.0</v>
      </c>
      <c r="I16" s="36">
        <v>6.0</v>
      </c>
      <c r="J16" s="36">
        <v>4.0</v>
      </c>
      <c r="K16" s="36">
        <f>IF(COUNT(F16:J16)&lt;5,"",ROUND((F16*Quesitos!$B$3+G16*Quesitos!$B$4+H16*Quesitos!$B$5+I16*Quesitos!$B$6+J16*Quesitos!$B$7)/SUM(Quesitos!$B$3:$B$7),2))</f>
        <v>5.3</v>
      </c>
    </row>
    <row r="17">
      <c r="A17" s="21">
        <v>13.0</v>
      </c>
      <c r="B17" s="22">
        <v>46188.0</v>
      </c>
      <c r="C17" s="21" t="s">
        <v>64</v>
      </c>
      <c r="D17" s="23" t="s">
        <v>85</v>
      </c>
      <c r="E17" s="24" t="s">
        <v>59</v>
      </c>
      <c r="F17" s="28">
        <v>4.0</v>
      </c>
      <c r="G17" s="28">
        <v>4.0</v>
      </c>
      <c r="H17" s="28">
        <v>7.0</v>
      </c>
      <c r="I17" s="28">
        <v>7.0</v>
      </c>
      <c r="J17" s="28">
        <v>4.0</v>
      </c>
      <c r="K17" s="28">
        <f>IF(COUNT(F17:J17)&lt;5,"",ROUND((F17*Quesitos!$B$3+G17*Quesitos!$B$4+H17*Quesitos!$B$5+I17*Quesitos!$B$6+J17*Quesitos!$B$7)/SUM(Quesitos!$B$3:$B$7),2))</f>
        <v>5.2</v>
      </c>
    </row>
    <row r="18">
      <c r="A18" s="29">
        <v>15.0</v>
      </c>
      <c r="B18" s="30">
        <v>46188.0</v>
      </c>
      <c r="C18" s="29" t="s">
        <v>60</v>
      </c>
      <c r="D18" s="31" t="s">
        <v>86</v>
      </c>
      <c r="E18" s="32" t="s">
        <v>75</v>
      </c>
      <c r="F18" s="36">
        <v>7.0</v>
      </c>
      <c r="G18" s="36">
        <v>7.0</v>
      </c>
      <c r="H18" s="36">
        <v>8.0</v>
      </c>
      <c r="I18" s="36">
        <v>9.0</v>
      </c>
      <c r="J18" s="36">
        <v>4.0</v>
      </c>
      <c r="K18" s="36">
        <f>IF(COUNT(F18:J18)&lt;5,"",ROUND((F18*Quesitos!$B$3+G18*Quesitos!$B$4+H18*Quesitos!$B$5+I18*Quesitos!$B$6+J18*Quesitos!$B$7)/SUM(Quesitos!$B$3:$B$7),2))</f>
        <v>7.3</v>
      </c>
    </row>
    <row r="19">
      <c r="A19" s="21">
        <v>17.0</v>
      </c>
      <c r="B19" s="22">
        <v>46189.0</v>
      </c>
      <c r="C19" s="21" t="s">
        <v>52</v>
      </c>
      <c r="D19" s="23" t="s">
        <v>87</v>
      </c>
      <c r="E19" s="24" t="s">
        <v>88</v>
      </c>
      <c r="F19" s="28">
        <v>7.0</v>
      </c>
      <c r="G19" s="28">
        <v>9.0</v>
      </c>
      <c r="H19" s="28">
        <v>8.0</v>
      </c>
      <c r="I19" s="28">
        <v>7.0</v>
      </c>
      <c r="J19" s="28">
        <v>5.0</v>
      </c>
      <c r="K19" s="28">
        <f>IF(COUNT(F19:J19)&lt;5,"",ROUND((F19*Quesitos!$B$3+G19*Quesitos!$B$4+H19*Quesitos!$B$5+I19*Quesitos!$B$6+J19*Quesitos!$B$7)/SUM(Quesitos!$B$3:$B$7),2))</f>
        <v>7.5</v>
      </c>
    </row>
    <row r="20">
      <c r="A20" s="29">
        <v>18.0</v>
      </c>
      <c r="B20" s="30">
        <v>46189.0</v>
      </c>
      <c r="C20" s="29" t="s">
        <v>64</v>
      </c>
      <c r="D20" s="31" t="s">
        <v>89</v>
      </c>
      <c r="E20" s="32" t="s">
        <v>90</v>
      </c>
      <c r="F20" s="36">
        <v>5.0</v>
      </c>
      <c r="G20" s="36">
        <v>7.0</v>
      </c>
      <c r="H20" s="36">
        <v>5.0</v>
      </c>
      <c r="I20" s="36">
        <v>5.0</v>
      </c>
      <c r="J20" s="36">
        <v>9.0</v>
      </c>
      <c r="K20" s="36">
        <f>IF(COUNT(F20:J20)&lt;5,"",ROUND((F20*Quesitos!$B$3+G20*Quesitos!$B$4+H20*Quesitos!$B$5+I20*Quesitos!$B$6+J20*Quesitos!$B$7)/SUM(Quesitos!$B$3:$B$7),2))</f>
        <v>5.9</v>
      </c>
    </row>
    <row r="21" ht="15.75" customHeight="1">
      <c r="A21" s="21">
        <v>19.0</v>
      </c>
      <c r="B21" s="22">
        <v>46189.0</v>
      </c>
      <c r="C21" s="21" t="s">
        <v>60</v>
      </c>
      <c r="D21" s="23" t="s">
        <v>91</v>
      </c>
      <c r="E21" s="24" t="s">
        <v>92</v>
      </c>
      <c r="F21" s="28">
        <v>8.0</v>
      </c>
      <c r="G21" s="28">
        <v>7.0</v>
      </c>
      <c r="H21" s="28">
        <v>6.0</v>
      </c>
      <c r="I21" s="28">
        <v>5.0</v>
      </c>
      <c r="J21" s="28">
        <v>10.0</v>
      </c>
      <c r="K21" s="28">
        <f>IF(COUNT(F21:J21)&lt;5,"",ROUND((F21*Quesitos!$B$3+G21*Quesitos!$B$4+H21*Quesitos!$B$5+I21*Quesitos!$B$6+J21*Quesitos!$B$7)/SUM(Quesitos!$B$3:$B$7),2))</f>
        <v>6.95</v>
      </c>
    </row>
    <row r="22" ht="15.75" customHeight="1">
      <c r="A22" s="29">
        <v>20.0</v>
      </c>
      <c r="B22" s="30">
        <v>46190.0</v>
      </c>
      <c r="C22" s="29" t="s">
        <v>68</v>
      </c>
      <c r="D22" s="31" t="s">
        <v>93</v>
      </c>
      <c r="E22" s="32" t="s">
        <v>88</v>
      </c>
      <c r="F22" s="36">
        <v>4.0</v>
      </c>
      <c r="G22" s="36">
        <v>7.0</v>
      </c>
      <c r="H22" s="36">
        <v>8.0</v>
      </c>
      <c r="I22" s="36">
        <v>7.0</v>
      </c>
      <c r="J22" s="36">
        <v>7.0</v>
      </c>
      <c r="K22" s="36">
        <f>IF(COUNT(F22:J22)&lt;5,"",ROUND((F22*Quesitos!$B$3+G22*Quesitos!$B$4+H22*Quesitos!$B$5+I22*Quesitos!$B$6+J22*Quesitos!$B$7)/SUM(Quesitos!$B$3:$B$7),2))</f>
        <v>6.45</v>
      </c>
    </row>
    <row r="23" ht="15.75" customHeight="1">
      <c r="A23" s="21">
        <v>23.0</v>
      </c>
      <c r="B23" s="22">
        <v>46190.0</v>
      </c>
      <c r="C23" s="21" t="s">
        <v>70</v>
      </c>
      <c r="D23" s="23" t="s">
        <v>94</v>
      </c>
      <c r="E23" s="24" t="s">
        <v>59</v>
      </c>
      <c r="F23" s="28">
        <v>5.0</v>
      </c>
      <c r="G23" s="28">
        <v>3.0</v>
      </c>
      <c r="H23" s="28">
        <v>4.0</v>
      </c>
      <c r="I23" s="28">
        <v>8.0</v>
      </c>
      <c r="J23" s="28">
        <v>8.0</v>
      </c>
      <c r="K23" s="28">
        <f>IF(COUNT(F23:J23)&lt;5,"",ROUND((F23*Quesitos!$B$3+G23*Quesitos!$B$4+H23*Quesitos!$B$5+I23*Quesitos!$B$6+J23*Quesitos!$B$7)/SUM(Quesitos!$B$3:$B$7),2))</f>
        <v>5.2</v>
      </c>
    </row>
    <row r="24" ht="15.75" customHeight="1">
      <c r="A24" s="29">
        <v>22.0</v>
      </c>
      <c r="B24" s="30">
        <v>46190.0</v>
      </c>
      <c r="C24" s="29" t="s">
        <v>73</v>
      </c>
      <c r="D24" s="31" t="s">
        <v>95</v>
      </c>
      <c r="E24" s="32" t="s">
        <v>96</v>
      </c>
      <c r="F24" s="36">
        <v>9.0</v>
      </c>
      <c r="G24" s="36">
        <v>9.0</v>
      </c>
      <c r="H24" s="36">
        <v>9.0</v>
      </c>
      <c r="I24" s="36">
        <v>8.0</v>
      </c>
      <c r="J24" s="36">
        <v>7.0</v>
      </c>
      <c r="K24" s="36">
        <f>IF(COUNT(F24:J24)&lt;5,"",ROUND((F24*Quesitos!$B$3+G24*Quesitos!$B$4+H24*Quesitos!$B$5+I24*Quesitos!$B$6+J24*Quesitos!$B$7)/SUM(Quesitos!$B$3:$B$7),2))</f>
        <v>8.6</v>
      </c>
    </row>
    <row r="25" ht="15.75" customHeight="1">
      <c r="A25" s="21">
        <v>21.0</v>
      </c>
      <c r="B25" s="22">
        <v>46190.0</v>
      </c>
      <c r="C25" s="21" t="s">
        <v>76</v>
      </c>
      <c r="D25" s="23" t="s">
        <v>97</v>
      </c>
      <c r="E25" s="24" t="s">
        <v>78</v>
      </c>
      <c r="F25" s="28">
        <v>2.0</v>
      </c>
      <c r="G25" s="28">
        <v>7.0</v>
      </c>
      <c r="H25" s="28">
        <v>7.0</v>
      </c>
      <c r="I25" s="28">
        <v>10.0</v>
      </c>
      <c r="J25" s="28">
        <v>3.0</v>
      </c>
      <c r="K25" s="28">
        <f>IF(COUNT(F25:J25)&lt;5,"",ROUND((F25*Quesitos!$B$3+G25*Quesitos!$B$4+H25*Quesitos!$B$5+I25*Quesitos!$B$6+J25*Quesitos!$B$7)/SUM(Quesitos!$B$3:$B$7),2))</f>
        <v>5.95</v>
      </c>
    </row>
    <row r="26" ht="15.75" customHeight="1">
      <c r="A26" s="29">
        <v>24.0</v>
      </c>
      <c r="B26" s="30">
        <v>46190.0</v>
      </c>
      <c r="C26" s="29" t="s">
        <v>55</v>
      </c>
      <c r="D26" s="31" t="s">
        <v>98</v>
      </c>
      <c r="E26" s="32" t="s">
        <v>99</v>
      </c>
      <c r="F26" s="36">
        <v>4.0</v>
      </c>
      <c r="G26" s="36">
        <v>6.0</v>
      </c>
      <c r="H26" s="36">
        <v>6.5</v>
      </c>
      <c r="I26" s="36">
        <v>5.0</v>
      </c>
      <c r="J26" s="36">
        <v>6.0</v>
      </c>
      <c r="K26" s="36">
        <f>IF(COUNT(F26:J26)&lt;5,"",ROUND((F26*Quesitos!$B$3+G26*Quesitos!$B$4+H26*Quesitos!$B$5+I26*Quesitos!$B$6+J26*Quesitos!$B$7)/SUM(Quesitos!$B$3:$B$7),2))</f>
        <v>5.4</v>
      </c>
    </row>
    <row r="27" ht="15.75" customHeight="1">
      <c r="A27" s="21">
        <v>25.0</v>
      </c>
      <c r="B27" s="22">
        <v>46191.0</v>
      </c>
      <c r="C27" s="21" t="s">
        <v>81</v>
      </c>
      <c r="D27" s="23" t="s">
        <v>100</v>
      </c>
      <c r="E27" s="24" t="s">
        <v>59</v>
      </c>
      <c r="F27" s="28">
        <v>4.5</v>
      </c>
      <c r="G27" s="28">
        <v>6.0</v>
      </c>
      <c r="H27" s="28">
        <v>5.5</v>
      </c>
      <c r="I27" s="28">
        <v>7.0</v>
      </c>
      <c r="J27" s="28">
        <v>3.0</v>
      </c>
      <c r="K27" s="28">
        <f>IF(COUNT(F27:J27)&lt;5,"",ROUND((F27*Quesitos!$B$3+G27*Quesitos!$B$4+H27*Quesitos!$B$5+I27*Quesitos!$B$6+J27*Quesitos!$B$7)/SUM(Quesitos!$B$3:$B$7),2))</f>
        <v>5.43</v>
      </c>
    </row>
    <row r="28" ht="15.75" customHeight="1">
      <c r="A28" s="29">
        <v>26.0</v>
      </c>
      <c r="B28" s="30">
        <v>46191.0</v>
      </c>
      <c r="C28" s="29" t="s">
        <v>52</v>
      </c>
      <c r="D28" s="31" t="s">
        <v>101</v>
      </c>
      <c r="E28" s="32" t="s">
        <v>62</v>
      </c>
      <c r="F28" s="36">
        <v>3.0</v>
      </c>
      <c r="G28" s="41">
        <v>10.0</v>
      </c>
      <c r="H28" s="41">
        <v>7.0</v>
      </c>
      <c r="I28" s="41">
        <v>8.0</v>
      </c>
      <c r="J28" s="41">
        <v>5.0</v>
      </c>
      <c r="K28" s="36">
        <f>IF(COUNT(F28:J28)&lt;5,"",ROUND((F28*Quesitos!$B$3+G28*Quesitos!$B$4+H28*Quesitos!$B$5+I28*Quesitos!$B$6+J28*Quesitos!$B$7)/SUM(Quesitos!$B$3:$B$7),2))</f>
        <v>6.75</v>
      </c>
    </row>
    <row r="29" ht="15.75" customHeight="1">
      <c r="A29" s="21">
        <v>27.0</v>
      </c>
      <c r="B29" s="22">
        <v>46191.0</v>
      </c>
      <c r="C29" s="21" t="s">
        <v>64</v>
      </c>
      <c r="D29" s="23" t="s">
        <v>102</v>
      </c>
      <c r="E29" s="24" t="s">
        <v>103</v>
      </c>
      <c r="F29" s="28">
        <v>8.0</v>
      </c>
      <c r="G29" s="28">
        <v>9.0</v>
      </c>
      <c r="H29" s="28">
        <v>1.0</v>
      </c>
      <c r="I29" s="28">
        <v>4.0</v>
      </c>
      <c r="J29" s="28">
        <v>5.0</v>
      </c>
      <c r="K29" s="28">
        <f>IF(COUNT(F29:J29)&lt;5,"",ROUND((F29*Quesitos!$B$3+G29*Quesitos!$B$4+H29*Quesitos!$B$5+I29*Quesitos!$B$6+J29*Quesitos!$B$7)/SUM(Quesitos!$B$3:$B$7),2))</f>
        <v>5.75</v>
      </c>
    </row>
    <row r="30" ht="15.75" customHeight="1">
      <c r="A30" s="29">
        <v>28.0</v>
      </c>
      <c r="B30" s="30">
        <v>46191.0</v>
      </c>
      <c r="C30" s="29" t="s">
        <v>60</v>
      </c>
      <c r="D30" s="31" t="s">
        <v>104</v>
      </c>
      <c r="E30" s="32" t="s">
        <v>78</v>
      </c>
      <c r="F30" s="36">
        <v>5.0</v>
      </c>
      <c r="G30" s="36">
        <v>5.0</v>
      </c>
      <c r="H30" s="36">
        <v>8.0</v>
      </c>
      <c r="I30" s="36">
        <v>4.0</v>
      </c>
      <c r="J30" s="36">
        <v>5.0</v>
      </c>
      <c r="K30" s="36">
        <f>IF(COUNT(F30:J30)&lt;5,"",ROUND((F30*Quesitos!$B$3+G30*Quesitos!$B$4+H30*Quesitos!$B$5+I30*Quesitos!$B$6+J30*Quesitos!$B$7)/SUM(Quesitos!$B$3:$B$7),2))</f>
        <v>5.4</v>
      </c>
    </row>
    <row r="31" ht="15.75" customHeight="1">
      <c r="A31" s="21">
        <v>32.0</v>
      </c>
      <c r="B31" s="22">
        <v>46192.0</v>
      </c>
      <c r="C31" s="21" t="s">
        <v>52</v>
      </c>
      <c r="D31" s="23" t="s">
        <v>105</v>
      </c>
      <c r="E31" s="24" t="s">
        <v>54</v>
      </c>
      <c r="F31" s="28">
        <v>7.0</v>
      </c>
      <c r="G31" s="28">
        <v>4.0</v>
      </c>
      <c r="H31" s="28">
        <v>6.0</v>
      </c>
      <c r="I31" s="28">
        <v>5.0</v>
      </c>
      <c r="J31" s="28">
        <v>5.0</v>
      </c>
      <c r="K31" s="28">
        <f>IF(COUNT(F31:J31)&lt;5,"",ROUND((F31*Quesitos!$B$3+G31*Quesitos!$B$4+H31*Quesitos!$B$5+I31*Quesitos!$B$6+J31*Quesitos!$B$7)/SUM(Quesitos!$B$3:$B$7),2))</f>
        <v>5.45</v>
      </c>
    </row>
    <row r="32" ht="15.75" customHeight="1">
      <c r="A32" s="29">
        <v>30.0</v>
      </c>
      <c r="B32" s="30">
        <v>46192.0</v>
      </c>
      <c r="C32" s="29" t="s">
        <v>64</v>
      </c>
      <c r="D32" s="31" t="s">
        <v>106</v>
      </c>
      <c r="E32" s="32" t="s">
        <v>67</v>
      </c>
      <c r="F32" s="36">
        <v>7.0</v>
      </c>
      <c r="G32" s="36">
        <v>4.5</v>
      </c>
      <c r="H32" s="36">
        <v>6.0</v>
      </c>
      <c r="I32" s="36">
        <v>5.0</v>
      </c>
      <c r="J32" s="36">
        <v>4.5</v>
      </c>
      <c r="K32" s="36">
        <f>IF(COUNT(F32:J32)&lt;5,"",ROUND((F32*Quesitos!$B$3+G32*Quesitos!$B$4+H32*Quesitos!$B$5+I32*Quesitos!$B$6+J32*Quesitos!$B$7)/SUM(Quesitos!$B$3:$B$7),2))</f>
        <v>5.53</v>
      </c>
    </row>
    <row r="33" ht="15.75" customHeight="1">
      <c r="A33" s="21">
        <v>29.0</v>
      </c>
      <c r="B33" s="22">
        <v>46192.0</v>
      </c>
      <c r="C33" s="21" t="s">
        <v>60</v>
      </c>
      <c r="D33" s="23" t="s">
        <v>107</v>
      </c>
      <c r="E33" s="24" t="s">
        <v>92</v>
      </c>
      <c r="F33" s="28">
        <v>8.0</v>
      </c>
      <c r="G33" s="28">
        <v>4.5</v>
      </c>
      <c r="H33" s="28">
        <v>5.0</v>
      </c>
      <c r="I33" s="28">
        <v>5.0</v>
      </c>
      <c r="J33" s="28">
        <v>6.0</v>
      </c>
      <c r="K33" s="28">
        <f>IF(COUNT(F33:J33)&lt;5,"",ROUND((F33*Quesitos!$B$3+G33*Quesitos!$B$4+H33*Quesitos!$B$5+I33*Quesitos!$B$6+J33*Quesitos!$B$7)/SUM(Quesitos!$B$3:$B$7),2))</f>
        <v>5.73</v>
      </c>
    </row>
    <row r="34" ht="15.75" customHeight="1">
      <c r="A34" s="29">
        <v>31.0</v>
      </c>
      <c r="B34" s="30">
        <v>46193.0</v>
      </c>
      <c r="C34" s="29" t="s">
        <v>108</v>
      </c>
      <c r="D34" s="31" t="s">
        <v>109</v>
      </c>
      <c r="E34" s="32" t="s">
        <v>67</v>
      </c>
      <c r="F34" s="36">
        <v>4.0</v>
      </c>
      <c r="G34" s="36">
        <v>5.5</v>
      </c>
      <c r="H34" s="36">
        <v>4.5</v>
      </c>
      <c r="I34" s="36">
        <v>10.0</v>
      </c>
      <c r="J34" s="36">
        <v>7.0</v>
      </c>
      <c r="K34" s="36">
        <f>IF(COUNT(F34:J34)&lt;5,"",ROUND((F34*Quesitos!$B$3+G34*Quesitos!$B$4+H34*Quesitos!$B$5+I34*Quesitos!$B$6+J34*Quesitos!$B$7)/SUM(Quesitos!$B$3:$B$7),2))</f>
        <v>5.98</v>
      </c>
    </row>
    <row r="35" ht="15.75" customHeight="1">
      <c r="A35" s="21">
        <v>35.0</v>
      </c>
      <c r="B35" s="22">
        <v>46193.0</v>
      </c>
      <c r="C35" s="21" t="s">
        <v>70</v>
      </c>
      <c r="D35" s="42" t="s">
        <v>110</v>
      </c>
      <c r="E35" s="24" t="s">
        <v>80</v>
      </c>
      <c r="F35" s="28">
        <v>9.0</v>
      </c>
      <c r="G35" s="28">
        <v>7.5</v>
      </c>
      <c r="H35" s="28">
        <v>10.0</v>
      </c>
      <c r="I35" s="28">
        <v>5.0</v>
      </c>
      <c r="J35" s="28">
        <v>5.0</v>
      </c>
      <c r="K35" s="28">
        <f>IF(COUNT(F35:J35)&lt;5,"",ROUND((F35*Quesitos!$B$3+G35*Quesitos!$B$4+H35*Quesitos!$B$5+I35*Quesitos!$B$6+J35*Quesitos!$B$7)/SUM(Quesitos!$B$3:$B$7),2))</f>
        <v>7.63</v>
      </c>
    </row>
    <row r="36" ht="15.75" customHeight="1">
      <c r="A36" s="29">
        <v>33.0</v>
      </c>
      <c r="B36" s="30">
        <v>46193.0</v>
      </c>
      <c r="C36" s="29" t="s">
        <v>73</v>
      </c>
      <c r="D36" s="31" t="s">
        <v>111</v>
      </c>
      <c r="E36" s="32" t="s">
        <v>57</v>
      </c>
      <c r="F36" s="36">
        <v>6.0</v>
      </c>
      <c r="G36" s="36">
        <v>8.0</v>
      </c>
      <c r="H36" s="36">
        <v>8.0</v>
      </c>
      <c r="I36" s="36">
        <v>8.0</v>
      </c>
      <c r="J36" s="36">
        <v>3.0</v>
      </c>
      <c r="K36" s="36">
        <f>IF(COUNT(F36:J36)&lt;5,"",ROUND((F36*Quesitos!$B$3+G36*Quesitos!$B$4+H36*Quesitos!$B$5+I36*Quesitos!$B$6+J36*Quesitos!$B$7)/SUM(Quesitos!$B$3:$B$7),2))</f>
        <v>7</v>
      </c>
    </row>
    <row r="37" ht="15.75" customHeight="1">
      <c r="A37" s="21">
        <v>34.0</v>
      </c>
      <c r="B37" s="22">
        <v>46193.0</v>
      </c>
      <c r="C37" s="21" t="s">
        <v>112</v>
      </c>
      <c r="D37" s="23" t="s">
        <v>113</v>
      </c>
      <c r="E37" s="24" t="s">
        <v>83</v>
      </c>
      <c r="F37" s="28">
        <v>6.0</v>
      </c>
      <c r="G37" s="28">
        <v>3.0</v>
      </c>
      <c r="H37" s="28">
        <v>6.0</v>
      </c>
      <c r="I37" s="28">
        <v>8.0</v>
      </c>
      <c r="J37" s="28">
        <v>10.0</v>
      </c>
      <c r="K37" s="28">
        <f>IF(COUNT(F37:J37)&lt;5,"",ROUND((F37*Quesitos!$B$3+G37*Quesitos!$B$4+H37*Quesitos!$B$5+I37*Quesitos!$B$6+J37*Quesitos!$B$7)/SUM(Quesitos!$B$3:$B$7),2))</f>
        <v>6.05</v>
      </c>
    </row>
    <row r="38" ht="15.75" customHeight="1">
      <c r="A38" s="29">
        <v>36.0</v>
      </c>
      <c r="B38" s="30">
        <v>46194.0</v>
      </c>
      <c r="C38" s="29" t="s">
        <v>68</v>
      </c>
      <c r="D38" s="31" t="s">
        <v>114</v>
      </c>
      <c r="E38" s="32" t="s">
        <v>115</v>
      </c>
      <c r="F38" s="36">
        <v>7.0</v>
      </c>
      <c r="G38" s="36">
        <v>6.0</v>
      </c>
      <c r="H38" s="36">
        <v>4.0</v>
      </c>
      <c r="I38" s="36">
        <v>6.0</v>
      </c>
      <c r="J38" s="36">
        <v>9.0</v>
      </c>
      <c r="K38" s="36">
        <f>IF(COUNT(F38:J38)&lt;5,"",ROUND((F38*Quesitos!$B$3+G38*Quesitos!$B$4+H38*Quesitos!$B$5+I38*Quesitos!$B$6+J38*Quesitos!$B$7)/SUM(Quesitos!$B$3:$B$7),2))</f>
        <v>6.15</v>
      </c>
    </row>
    <row r="39" ht="15.75" customHeight="1">
      <c r="A39" s="21">
        <v>38.0</v>
      </c>
      <c r="B39" s="22">
        <v>46194.0</v>
      </c>
      <c r="C39" s="21" t="s">
        <v>81</v>
      </c>
      <c r="D39" s="23" t="s">
        <v>116</v>
      </c>
      <c r="E39" s="24" t="s">
        <v>117</v>
      </c>
      <c r="F39" s="28">
        <v>8.5</v>
      </c>
      <c r="G39" s="28">
        <v>3.0</v>
      </c>
      <c r="H39" s="28">
        <v>3.0</v>
      </c>
      <c r="I39" s="28">
        <v>7.0</v>
      </c>
      <c r="J39" s="28">
        <v>6.0</v>
      </c>
      <c r="K39" s="28">
        <f>IF(COUNT(F39:J39)&lt;5,"",ROUND((F39*Quesitos!$B$3+G39*Quesitos!$B$4+H39*Quesitos!$B$5+I39*Quesitos!$B$6+J39*Quesitos!$B$7)/SUM(Quesitos!$B$3:$B$7),2))</f>
        <v>5.48</v>
      </c>
    </row>
    <row r="40" ht="15.75" customHeight="1">
      <c r="A40" s="29">
        <v>39.0</v>
      </c>
      <c r="B40" s="30">
        <v>46194.0</v>
      </c>
      <c r="C40" s="29" t="s">
        <v>52</v>
      </c>
      <c r="D40" s="31" t="s">
        <v>118</v>
      </c>
      <c r="E40" s="32" t="s">
        <v>83</v>
      </c>
      <c r="F40" s="36">
        <v>5.0</v>
      </c>
      <c r="G40" s="36">
        <v>5.0</v>
      </c>
      <c r="H40" s="36">
        <v>7.0</v>
      </c>
      <c r="I40" s="36">
        <v>7.5</v>
      </c>
      <c r="J40" s="36">
        <v>2.0</v>
      </c>
      <c r="K40" s="36">
        <f>IF(COUNT(F40:J40)&lt;5,"",ROUND((F40*Quesitos!$B$3+G40*Quesitos!$B$4+H40*Quesitos!$B$5+I40*Quesitos!$B$6+J40*Quesitos!$B$7)/SUM(Quesitos!$B$3:$B$7),2))</f>
        <v>5.6</v>
      </c>
    </row>
    <row r="41" ht="15.75" customHeight="1">
      <c r="A41" s="21">
        <v>37.0</v>
      </c>
      <c r="B41" s="22">
        <v>46194.0</v>
      </c>
      <c r="C41" s="21" t="s">
        <v>64</v>
      </c>
      <c r="D41" s="23" t="s">
        <v>119</v>
      </c>
      <c r="E41" s="24" t="s">
        <v>75</v>
      </c>
      <c r="F41" s="28">
        <v>8.0</v>
      </c>
      <c r="G41" s="28">
        <v>8.5</v>
      </c>
      <c r="H41" s="28">
        <v>8.0</v>
      </c>
      <c r="I41" s="28">
        <v>10.0</v>
      </c>
      <c r="J41" s="28">
        <v>7.0</v>
      </c>
      <c r="K41" s="28">
        <f>IF(COUNT(F41:J41)&lt;5,"",ROUND((F41*Quesitos!$B$3+G41*Quesitos!$B$4+H41*Quesitos!$B$5+I41*Quesitos!$B$6+J41*Quesitos!$B$7)/SUM(Quesitos!$B$3:$B$7),2))</f>
        <v>8.43</v>
      </c>
    </row>
    <row r="42" ht="15.75" customHeight="1">
      <c r="A42" s="29">
        <v>40.0</v>
      </c>
      <c r="B42" s="30">
        <v>46194.0</v>
      </c>
      <c r="C42" s="29" t="s">
        <v>60</v>
      </c>
      <c r="D42" s="31" t="s">
        <v>120</v>
      </c>
      <c r="E42" s="32" t="s">
        <v>99</v>
      </c>
      <c r="F42" s="36">
        <v>7.0</v>
      </c>
      <c r="G42" s="36">
        <v>7.5</v>
      </c>
      <c r="H42" s="36">
        <v>7.0</v>
      </c>
      <c r="I42" s="36">
        <v>6.0</v>
      </c>
      <c r="J42" s="36">
        <v>9.0</v>
      </c>
      <c r="K42" s="36">
        <f>IF(COUNT(F42:J42)&lt;5,"",ROUND((F42*Quesitos!$B$3+G42*Quesitos!$B$4+H42*Quesitos!$B$5+I42*Quesitos!$B$6+J42*Quesitos!$B$7)/SUM(Quesitos!$B$3:$B$7),2))</f>
        <v>7.13</v>
      </c>
    </row>
    <row r="43" ht="15.75" customHeight="1">
      <c r="A43" s="21">
        <v>43.0</v>
      </c>
      <c r="B43" s="22">
        <v>46195.0</v>
      </c>
      <c r="C43" s="21" t="s">
        <v>70</v>
      </c>
      <c r="D43" s="23" t="s">
        <v>121</v>
      </c>
      <c r="E43" s="24" t="s">
        <v>54</v>
      </c>
      <c r="F43" s="28">
        <v>7.0</v>
      </c>
      <c r="G43" s="28">
        <v>6.5</v>
      </c>
      <c r="H43" s="28">
        <v>7.0</v>
      </c>
      <c r="I43" s="28">
        <v>5.0</v>
      </c>
      <c r="J43" s="28">
        <v>8.0</v>
      </c>
      <c r="K43" s="28">
        <f>IF(COUNT(F43:J43)&lt;5,"",ROUND((F43*Quesitos!$B$3+G43*Quesitos!$B$4+H43*Quesitos!$B$5+I43*Quesitos!$B$6+J43*Quesitos!$B$7)/SUM(Quesitos!$B$3:$B$7),2))</f>
        <v>6.58</v>
      </c>
    </row>
    <row r="44" ht="15.75" customHeight="1">
      <c r="A44" s="29">
        <v>42.0</v>
      </c>
      <c r="B44" s="30">
        <v>46195.0</v>
      </c>
      <c r="C44" s="29" t="s">
        <v>122</v>
      </c>
      <c r="D44" s="31" t="s">
        <v>123</v>
      </c>
      <c r="E44" s="32" t="s">
        <v>92</v>
      </c>
      <c r="F44" s="36">
        <v>6.5</v>
      </c>
      <c r="G44" s="36">
        <v>7.0</v>
      </c>
      <c r="H44" s="36">
        <v>4.0</v>
      </c>
      <c r="I44" s="36">
        <v>3.0</v>
      </c>
      <c r="J44" s="36">
        <v>5.0</v>
      </c>
      <c r="K44" s="36">
        <f>IF(COUNT(F44:J44)&lt;5,"",ROUND((F44*Quesitos!$B$3+G44*Quesitos!$B$4+H44*Quesitos!$B$5+I44*Quesitos!$B$6+J44*Quesitos!$B$7)/SUM(Quesitos!$B$3:$B$7),2))</f>
        <v>5.28</v>
      </c>
    </row>
    <row r="45" ht="15.75" customHeight="1">
      <c r="A45" s="21">
        <v>41.0</v>
      </c>
      <c r="B45" s="22">
        <v>46195.0</v>
      </c>
      <c r="C45" s="21" t="s">
        <v>112</v>
      </c>
      <c r="D45" s="23" t="s">
        <v>124</v>
      </c>
      <c r="E45" s="24" t="s">
        <v>125</v>
      </c>
      <c r="F45" s="28">
        <v>7.0</v>
      </c>
      <c r="G45" s="28">
        <v>7.5</v>
      </c>
      <c r="H45" s="28">
        <v>8.0</v>
      </c>
      <c r="I45" s="28">
        <v>7.5</v>
      </c>
      <c r="J45" s="28">
        <v>5.0</v>
      </c>
      <c r="K45" s="28">
        <f>IF(COUNT(F45:J45)&lt;5,"",ROUND((F45*Quesitos!$B$3+G45*Quesitos!$B$4+H45*Quesitos!$B$5+I45*Quesitos!$B$6+J45*Quesitos!$B$7)/SUM(Quesitos!$B$3:$B$7),2))</f>
        <v>7.23</v>
      </c>
    </row>
    <row r="46" ht="15.75" customHeight="1">
      <c r="A46" s="29">
        <v>44.0</v>
      </c>
      <c r="B46" s="30">
        <v>46196.0</v>
      </c>
      <c r="C46" s="29" t="s">
        <v>108</v>
      </c>
      <c r="D46" s="31" t="s">
        <v>126</v>
      </c>
      <c r="E46" s="32" t="s">
        <v>127</v>
      </c>
      <c r="F46" s="36">
        <v>3.0</v>
      </c>
      <c r="G46" s="36">
        <v>4.0</v>
      </c>
      <c r="H46" s="36">
        <v>7.5</v>
      </c>
      <c r="I46" s="36">
        <v>7.0</v>
      </c>
      <c r="J46" s="36">
        <v>6.0</v>
      </c>
      <c r="K46" s="36">
        <f>IF(COUNT(F46:J46)&lt;5,"",ROUND((F46*Quesitos!$B$3+G46*Quesitos!$B$4+H46*Quesitos!$B$5+I46*Quesitos!$B$6+J46*Quesitos!$B$7)/SUM(Quesitos!$B$3:$B$7),2))</f>
        <v>5.25</v>
      </c>
    </row>
    <row r="47" ht="15.75" customHeight="1">
      <c r="A47" s="21">
        <v>47.0</v>
      </c>
      <c r="B47" s="22">
        <v>46196.0</v>
      </c>
      <c r="C47" s="21" t="s">
        <v>70</v>
      </c>
      <c r="D47" s="23" t="s">
        <v>128</v>
      </c>
      <c r="E47" s="24" t="s">
        <v>129</v>
      </c>
      <c r="F47" s="28">
        <v>8.0</v>
      </c>
      <c r="G47" s="28">
        <v>5.0</v>
      </c>
      <c r="H47" s="28">
        <v>4.0</v>
      </c>
      <c r="I47" s="28">
        <v>5.0</v>
      </c>
      <c r="J47" s="28">
        <v>8.0</v>
      </c>
      <c r="K47" s="28">
        <f>IF(COUNT(F47:J47)&lt;5,"",ROUND((F47*Quesitos!$B$3+G47*Quesitos!$B$4+H47*Quesitos!$B$5+I47*Quesitos!$B$6+J47*Quesitos!$B$7)/SUM(Quesitos!$B$3:$B$7),2))</f>
        <v>5.85</v>
      </c>
    </row>
    <row r="48" ht="15.75" customHeight="1">
      <c r="A48" s="29">
        <v>45.0</v>
      </c>
      <c r="B48" s="30">
        <v>46196.0</v>
      </c>
      <c r="C48" s="29" t="s">
        <v>73</v>
      </c>
      <c r="D48" s="31" t="s">
        <v>130</v>
      </c>
      <c r="E48" s="32" t="s">
        <v>83</v>
      </c>
      <c r="F48" s="36">
        <v>6.0</v>
      </c>
      <c r="G48" s="36">
        <v>7.5</v>
      </c>
      <c r="H48" s="36">
        <v>7.0</v>
      </c>
      <c r="I48" s="36">
        <v>8.0</v>
      </c>
      <c r="J48" s="36">
        <v>5.0</v>
      </c>
      <c r="K48" s="36">
        <f>IF(COUNT(F48:J48)&lt;5,"",ROUND((F48*Quesitos!$B$3+G48*Quesitos!$B$4+H48*Quesitos!$B$5+I48*Quesitos!$B$6+J48*Quesitos!$B$7)/SUM(Quesitos!$B$3:$B$7),2))</f>
        <v>6.88</v>
      </c>
    </row>
    <row r="49" ht="15.75" customHeight="1">
      <c r="A49" s="21">
        <v>46.0</v>
      </c>
      <c r="B49" s="22">
        <v>46196.0</v>
      </c>
      <c r="C49" s="21" t="s">
        <v>76</v>
      </c>
      <c r="D49" s="23" t="s">
        <v>131</v>
      </c>
      <c r="E49" s="24" t="s">
        <v>67</v>
      </c>
      <c r="F49" s="28">
        <v>4.0</v>
      </c>
      <c r="G49" s="28">
        <v>5.5</v>
      </c>
      <c r="H49" s="28">
        <v>7.5</v>
      </c>
      <c r="I49" s="28">
        <v>7.0</v>
      </c>
      <c r="J49" s="28">
        <v>5.0</v>
      </c>
      <c r="K49" s="28">
        <f>IF(COUNT(F49:J49)&lt;5,"",ROUND((F49*Quesitos!$B$3+G49*Quesitos!$B$4+H49*Quesitos!$B$5+I49*Quesitos!$B$6+J49*Quesitos!$B$7)/SUM(Quesitos!$B$3:$B$7),2))</f>
        <v>5.78</v>
      </c>
    </row>
    <row r="50" ht="15.75" customHeight="1">
      <c r="A50" s="29">
        <v>48.0</v>
      </c>
      <c r="B50" s="30">
        <v>46196.0</v>
      </c>
      <c r="C50" s="29" t="s">
        <v>55</v>
      </c>
      <c r="D50" s="31" t="s">
        <v>132</v>
      </c>
      <c r="E50" s="32" t="s">
        <v>78</v>
      </c>
      <c r="F50" s="36">
        <v>6.0</v>
      </c>
      <c r="G50" s="36">
        <v>7.0</v>
      </c>
      <c r="H50" s="36">
        <v>7.0</v>
      </c>
      <c r="I50" s="36">
        <v>7.0</v>
      </c>
      <c r="J50" s="36">
        <v>3.0</v>
      </c>
      <c r="K50" s="36">
        <f>IF(COUNT(F50:J50)&lt;5,"",ROUND((F50*Quesitos!$B$3+G50*Quesitos!$B$4+H50*Quesitos!$B$5+I50*Quesitos!$B$6+J50*Quesitos!$B$7)/SUM(Quesitos!$B$3:$B$7),2))</f>
        <v>6.35</v>
      </c>
    </row>
    <row r="51" ht="15.75" customHeight="1">
      <c r="A51" s="21">
        <v>51.0</v>
      </c>
      <c r="B51" s="22">
        <v>46197.0</v>
      </c>
      <c r="C51" s="21" t="s">
        <v>52</v>
      </c>
      <c r="D51" s="23" t="s">
        <v>133</v>
      </c>
      <c r="E51" s="24" t="s">
        <v>57</v>
      </c>
      <c r="F51" s="28">
        <v>4.0</v>
      </c>
      <c r="G51" s="28">
        <v>6.5</v>
      </c>
      <c r="H51" s="28">
        <v>7.5</v>
      </c>
      <c r="I51" s="28">
        <v>6.0</v>
      </c>
      <c r="J51" s="28">
        <v>4.0</v>
      </c>
      <c r="K51" s="28">
        <f>IF(COUNT(F51:J51)&lt;5,"",ROUND((F51*Quesitos!$B$3+G51*Quesitos!$B$4+H51*Quesitos!$B$5+I51*Quesitos!$B$6+J51*Quesitos!$B$7)/SUM(Quesitos!$B$3:$B$7),2))</f>
        <v>5.73</v>
      </c>
    </row>
    <row r="52" ht="15.75" customHeight="1">
      <c r="A52" s="29">
        <v>52.0</v>
      </c>
      <c r="B52" s="30">
        <v>46197.0</v>
      </c>
      <c r="C52" s="29" t="s">
        <v>52</v>
      </c>
      <c r="D52" s="31" t="s">
        <v>134</v>
      </c>
      <c r="E52" s="32" t="s">
        <v>88</v>
      </c>
      <c r="F52" s="36">
        <v>6.0</v>
      </c>
      <c r="G52" s="36">
        <v>7.5</v>
      </c>
      <c r="H52" s="36">
        <v>3.0</v>
      </c>
      <c r="I52" s="36">
        <v>7.0</v>
      </c>
      <c r="J52" s="36">
        <v>3.0</v>
      </c>
      <c r="K52" s="36">
        <f>IF(COUNT(F52:J52)&lt;5,"",ROUND((F52*Quesitos!$B$3+G52*Quesitos!$B$4+H52*Quesitos!$B$5+I52*Quesitos!$B$6+J52*Quesitos!$B$7)/SUM(Quesitos!$B$3:$B$7),2))</f>
        <v>5.68</v>
      </c>
    </row>
    <row r="53" ht="15.75" customHeight="1">
      <c r="A53" s="21">
        <v>49.0</v>
      </c>
      <c r="B53" s="22">
        <v>46197.0</v>
      </c>
      <c r="C53" s="21" t="s">
        <v>64</v>
      </c>
      <c r="D53" s="23" t="s">
        <v>135</v>
      </c>
      <c r="E53" s="24" t="s">
        <v>136</v>
      </c>
      <c r="F53" s="28">
        <v>7.0</v>
      </c>
      <c r="G53" s="28">
        <v>6.5</v>
      </c>
      <c r="H53" s="28">
        <v>6.5</v>
      </c>
      <c r="I53" s="28">
        <v>6.0</v>
      </c>
      <c r="J53" s="28">
        <v>5.0</v>
      </c>
      <c r="K53" s="28">
        <f>IF(COUNT(F53:J53)&lt;5,"",ROUND((F53*Quesitos!$B$3+G53*Quesitos!$B$4+H53*Quesitos!$B$5+I53*Quesitos!$B$6+J53*Quesitos!$B$7)/SUM(Quesitos!$B$3:$B$7),2))</f>
        <v>6.38</v>
      </c>
    </row>
    <row r="54" ht="15.75" customHeight="1">
      <c r="A54" s="29">
        <v>50.0</v>
      </c>
      <c r="B54" s="30">
        <v>46197.0</v>
      </c>
      <c r="C54" s="29" t="s">
        <v>64</v>
      </c>
      <c r="D54" s="31" t="s">
        <v>137</v>
      </c>
      <c r="E54" s="32" t="s">
        <v>96</v>
      </c>
      <c r="F54" s="41">
        <v>9.0</v>
      </c>
      <c r="G54" s="36">
        <v>9.0</v>
      </c>
      <c r="H54" s="36">
        <v>9.0</v>
      </c>
      <c r="I54" s="36">
        <v>9.0</v>
      </c>
      <c r="J54" s="36">
        <v>9.0</v>
      </c>
      <c r="K54" s="36">
        <f>IF(COUNT(F54:J54)&lt;5,"",ROUND((F54*Quesitos!$B$3+G54*Quesitos!$B$4+H54*Quesitos!$B$5+I54*Quesitos!$B$6+J54*Quesitos!$B$7)/SUM(Quesitos!$B$3:$B$7),2))</f>
        <v>9</v>
      </c>
    </row>
    <row r="55" ht="15.75" customHeight="1">
      <c r="A55" s="21">
        <v>53.0</v>
      </c>
      <c r="B55" s="22">
        <v>46197.0</v>
      </c>
      <c r="C55" s="21" t="s">
        <v>60</v>
      </c>
      <c r="D55" s="23" t="s">
        <v>138</v>
      </c>
      <c r="E55" s="24" t="s">
        <v>136</v>
      </c>
      <c r="F55" s="28">
        <v>5.0</v>
      </c>
      <c r="G55" s="28">
        <v>8.0</v>
      </c>
      <c r="H55" s="28">
        <v>6.0</v>
      </c>
      <c r="I55" s="28">
        <v>7.0</v>
      </c>
      <c r="J55" s="28">
        <v>7.0</v>
      </c>
      <c r="K55" s="28">
        <f>IF(COUNT(F55:J55)&lt;5,"",ROUND((F55*Quesitos!$B$3+G55*Quesitos!$B$4+H55*Quesitos!$B$5+I55*Quesitos!$B$6+J55*Quesitos!$B$7)/SUM(Quesitos!$B$3:$B$7),2))</f>
        <v>6.55</v>
      </c>
    </row>
    <row r="56" ht="15.75" customHeight="1">
      <c r="A56" s="29">
        <v>54.0</v>
      </c>
      <c r="B56" s="30">
        <v>46197.0</v>
      </c>
      <c r="C56" s="29" t="s">
        <v>60</v>
      </c>
      <c r="D56" s="31" t="s">
        <v>139</v>
      </c>
      <c r="E56" s="32" t="s">
        <v>78</v>
      </c>
      <c r="F56" s="36">
        <v>3.0</v>
      </c>
      <c r="G56" s="36">
        <v>7.5</v>
      </c>
      <c r="H56" s="36">
        <v>8.5</v>
      </c>
      <c r="I56" s="36">
        <v>7.0</v>
      </c>
      <c r="J56" s="36">
        <v>7.0</v>
      </c>
      <c r="K56" s="36">
        <f>IF(COUNT(F56:J56)&lt;5,"",ROUND((F56*Quesitos!$B$3+G56*Quesitos!$B$4+H56*Quesitos!$B$5+I56*Quesitos!$B$6+J56*Quesitos!$B$7)/SUM(Quesitos!$B$3:$B$7),2))</f>
        <v>6.43</v>
      </c>
    </row>
    <row r="57" ht="15.75" customHeight="1">
      <c r="A57" s="21">
        <v>55.0</v>
      </c>
      <c r="B57" s="22">
        <v>46198.0</v>
      </c>
      <c r="C57" s="21" t="s">
        <v>73</v>
      </c>
      <c r="D57" s="23" t="s">
        <v>140</v>
      </c>
      <c r="E57" s="24" t="s">
        <v>141</v>
      </c>
      <c r="F57" s="28">
        <v>6.0</v>
      </c>
      <c r="G57" s="28">
        <v>6.0</v>
      </c>
      <c r="H57" s="28">
        <v>5.0</v>
      </c>
      <c r="I57" s="28">
        <v>7.0</v>
      </c>
      <c r="J57" s="28">
        <v>5.0</v>
      </c>
      <c r="K57" s="28">
        <f>IF(COUNT(F57:J57)&lt;5,"",ROUND((F57*Quesitos!$B$3+G57*Quesitos!$B$4+H57*Quesitos!$B$5+I57*Quesitos!$B$6+J57*Quesitos!$B$7)/SUM(Quesitos!$B$3:$B$7),2))</f>
        <v>5.9</v>
      </c>
    </row>
    <row r="58" ht="15.75" customHeight="1">
      <c r="A58" s="29">
        <v>56.0</v>
      </c>
      <c r="B58" s="30">
        <v>46198.0</v>
      </c>
      <c r="C58" s="29" t="s">
        <v>73</v>
      </c>
      <c r="D58" s="31" t="s">
        <v>142</v>
      </c>
      <c r="E58" s="32" t="s">
        <v>57</v>
      </c>
      <c r="F58" s="36">
        <v>7.0</v>
      </c>
      <c r="G58" s="36">
        <v>9.0</v>
      </c>
      <c r="H58" s="36">
        <v>10.0</v>
      </c>
      <c r="I58" s="36">
        <v>8.0</v>
      </c>
      <c r="J58" s="36">
        <v>9.0</v>
      </c>
      <c r="K58" s="36">
        <f>IF(COUNT(F58:J58)&lt;5,"",ROUND((F58*Quesitos!$B$3+G58*Quesitos!$B$4+H58*Quesitos!$B$5+I58*Quesitos!$B$6+J58*Quesitos!$B$7)/SUM(Quesitos!$B$3:$B$7),2))</f>
        <v>8.5</v>
      </c>
    </row>
    <row r="59" ht="15.75" customHeight="1">
      <c r="A59" s="21">
        <v>57.0</v>
      </c>
      <c r="B59" s="22">
        <v>46198.0</v>
      </c>
      <c r="C59" s="21" t="s">
        <v>76</v>
      </c>
      <c r="D59" s="23" t="s">
        <v>143</v>
      </c>
      <c r="E59" s="24" t="s">
        <v>59</v>
      </c>
      <c r="F59" s="28">
        <v>5.0</v>
      </c>
      <c r="G59" s="28">
        <v>5.0</v>
      </c>
      <c r="H59" s="28">
        <v>8.0</v>
      </c>
      <c r="I59" s="28">
        <v>7.0</v>
      </c>
      <c r="J59" s="28">
        <v>6.0</v>
      </c>
      <c r="K59" s="28">
        <f>IF(COUNT(F59:J59)&lt;5,"",ROUND((F59*Quesitos!$B$3+G59*Quesitos!$B$4+H59*Quesitos!$B$5+I59*Quesitos!$B$6+J59*Quesitos!$B$7)/SUM(Quesitos!$B$3:$B$7),2))</f>
        <v>6.1</v>
      </c>
    </row>
    <row r="60" ht="15.75" customHeight="1">
      <c r="A60" s="29">
        <v>58.0</v>
      </c>
      <c r="B60" s="30">
        <v>46198.0</v>
      </c>
      <c r="C60" s="29" t="s">
        <v>76</v>
      </c>
      <c r="D60" s="40" t="s">
        <v>144</v>
      </c>
      <c r="E60" s="32" t="s">
        <v>99</v>
      </c>
      <c r="F60" s="36">
        <v>4.0</v>
      </c>
      <c r="G60" s="36">
        <v>6.0</v>
      </c>
      <c r="H60" s="36">
        <v>6.0</v>
      </c>
      <c r="I60" s="36">
        <v>6.0</v>
      </c>
      <c r="J60" s="36">
        <v>5.0</v>
      </c>
      <c r="K60" s="36">
        <f>IF(COUNT(F60:J60)&lt;5,"",ROUND((F60*Quesitos!$B$3+G60*Quesitos!$B$4+H60*Quesitos!$B$5+I60*Quesitos!$B$6+J60*Quesitos!$B$7)/SUM(Quesitos!$B$3:$B$7),2))</f>
        <v>5.4</v>
      </c>
    </row>
    <row r="61" ht="15.75" customHeight="1">
      <c r="A61" s="21">
        <v>59.0</v>
      </c>
      <c r="B61" s="22">
        <v>46198.0</v>
      </c>
      <c r="C61" s="21" t="s">
        <v>55</v>
      </c>
      <c r="D61" s="23" t="s">
        <v>145</v>
      </c>
      <c r="E61" s="24" t="s">
        <v>125</v>
      </c>
      <c r="F61" s="28">
        <v>8.0</v>
      </c>
      <c r="G61" s="28">
        <v>7.0</v>
      </c>
      <c r="H61" s="28">
        <v>8.5</v>
      </c>
      <c r="I61" s="28">
        <v>5.0</v>
      </c>
      <c r="J61" s="28">
        <v>5.0</v>
      </c>
      <c r="K61" s="28">
        <f>IF(COUNT(F61:J61)&lt;5,"",ROUND((F61*Quesitos!$B$3+G61*Quesitos!$B$4+H61*Quesitos!$B$5+I61*Quesitos!$B$6+J61*Quesitos!$B$7)/SUM(Quesitos!$B$3:$B$7),2))</f>
        <v>6.95</v>
      </c>
    </row>
    <row r="62" ht="15.75" customHeight="1">
      <c r="A62" s="29">
        <v>60.0</v>
      </c>
      <c r="B62" s="30">
        <v>46198.0</v>
      </c>
      <c r="C62" s="29" t="s">
        <v>55</v>
      </c>
      <c r="D62" s="31" t="s">
        <v>146</v>
      </c>
      <c r="E62" s="32" t="s">
        <v>83</v>
      </c>
      <c r="F62" s="36">
        <v>2.0</v>
      </c>
      <c r="G62" s="36">
        <v>1.0</v>
      </c>
      <c r="H62" s="36">
        <v>1.0</v>
      </c>
      <c r="I62" s="36">
        <v>1.0</v>
      </c>
      <c r="J62" s="36">
        <v>1.0</v>
      </c>
      <c r="K62" s="36">
        <f>IF(COUNT(F62:J62)&lt;5,"",ROUND((F62*Quesitos!$B$3+G62*Quesitos!$B$4+H62*Quesitos!$B$5+I62*Quesitos!$B$6+J62*Quesitos!$B$7)/SUM(Quesitos!$B$3:$B$7),2))</f>
        <v>1.25</v>
      </c>
    </row>
    <row r="63" ht="15.75" customHeight="1">
      <c r="A63" s="21">
        <v>61.0</v>
      </c>
      <c r="B63" s="22">
        <v>46199.0</v>
      </c>
      <c r="C63" s="21" t="s">
        <v>52</v>
      </c>
      <c r="D63" s="23" t="s">
        <v>147</v>
      </c>
      <c r="E63" s="24" t="s">
        <v>90</v>
      </c>
      <c r="F63" s="28">
        <v>9.5</v>
      </c>
      <c r="G63" s="28">
        <v>7.0</v>
      </c>
      <c r="H63" s="28">
        <v>8.0</v>
      </c>
      <c r="I63" s="28">
        <v>6.0</v>
      </c>
      <c r="J63" s="28">
        <v>5.0</v>
      </c>
      <c r="K63" s="28">
        <f>IF(COUNT(F63:J63)&lt;5,"",ROUND((F63*Quesitos!$B$3+G63*Quesitos!$B$4+H63*Quesitos!$B$5+I63*Quesitos!$B$6+J63*Quesitos!$B$7)/SUM(Quesitos!$B$3:$B$7),2))</f>
        <v>7.43</v>
      </c>
    </row>
    <row r="64" ht="15.75" customHeight="1">
      <c r="A64" s="29">
        <v>62.0</v>
      </c>
      <c r="B64" s="30">
        <v>46199.0</v>
      </c>
      <c r="C64" s="29" t="s">
        <v>52</v>
      </c>
      <c r="D64" s="31" t="s">
        <v>148</v>
      </c>
      <c r="E64" s="32" t="s">
        <v>129</v>
      </c>
      <c r="F64" s="36">
        <v>4.0</v>
      </c>
      <c r="G64" s="36">
        <v>8.0</v>
      </c>
      <c r="H64" s="36">
        <v>3.0</v>
      </c>
      <c r="I64" s="36">
        <v>7.0</v>
      </c>
      <c r="J64" s="36">
        <v>5.0</v>
      </c>
      <c r="K64" s="36">
        <f>IF(COUNT(F64:J64)&lt;5,"",ROUND((F64*Quesitos!$B$3+G64*Quesitos!$B$4+H64*Quesitos!$B$5+I64*Quesitos!$B$6+J64*Quesitos!$B$7)/SUM(Quesitos!$B$3:$B$7),2))</f>
        <v>5.5</v>
      </c>
    </row>
    <row r="65" ht="15.75" customHeight="1">
      <c r="A65" s="21">
        <v>65.0</v>
      </c>
      <c r="B65" s="22">
        <v>46199.0</v>
      </c>
      <c r="C65" s="21" t="s">
        <v>112</v>
      </c>
      <c r="D65" s="23" t="s">
        <v>149</v>
      </c>
      <c r="E65" s="24" t="s">
        <v>83</v>
      </c>
      <c r="F65" s="28">
        <v>4.0</v>
      </c>
      <c r="G65" s="28">
        <v>5.0</v>
      </c>
      <c r="H65" s="28">
        <v>7.0</v>
      </c>
      <c r="I65" s="28">
        <v>8.0</v>
      </c>
      <c r="J65" s="28">
        <v>10.0</v>
      </c>
      <c r="K65" s="28">
        <f>IF(COUNT(F65:J65)&lt;5,"",ROUND((F65*Quesitos!$B$3+G65*Quesitos!$B$4+H65*Quesitos!$B$5+I65*Quesitos!$B$6+J65*Quesitos!$B$7)/SUM(Quesitos!$B$3:$B$7),2))</f>
        <v>6.25</v>
      </c>
    </row>
    <row r="66" ht="15.75" customHeight="1">
      <c r="A66" s="29">
        <v>66.0</v>
      </c>
      <c r="B66" s="30">
        <v>46199.0</v>
      </c>
      <c r="C66" s="29" t="s">
        <v>112</v>
      </c>
      <c r="D66" s="31" t="s">
        <v>150</v>
      </c>
      <c r="E66" s="32" t="s">
        <v>67</v>
      </c>
      <c r="F66" s="36">
        <v>4.0</v>
      </c>
      <c r="G66" s="36">
        <v>2.0</v>
      </c>
      <c r="H66" s="36">
        <v>5.0</v>
      </c>
      <c r="I66" s="36">
        <v>7.0</v>
      </c>
      <c r="J66" s="36">
        <v>9.0</v>
      </c>
      <c r="K66" s="36">
        <f>IF(COUNT(F66:J66)&lt;5,"",ROUND((F66*Quesitos!$B$3+G66*Quesitos!$B$4+H66*Quesitos!$B$5+I66*Quesitos!$B$6+J66*Quesitos!$B$7)/SUM(Quesitos!$B$3:$B$7),2))</f>
        <v>4.8</v>
      </c>
    </row>
    <row r="67" ht="15.75" customHeight="1">
      <c r="A67" s="21">
        <v>63.0</v>
      </c>
      <c r="B67" s="22">
        <v>46200.0</v>
      </c>
      <c r="C67" s="21" t="s">
        <v>108</v>
      </c>
      <c r="D67" s="23" t="s">
        <v>151</v>
      </c>
      <c r="E67" s="24" t="s">
        <v>59</v>
      </c>
      <c r="F67" s="28">
        <v>6.5</v>
      </c>
      <c r="G67" s="28">
        <v>7.25</v>
      </c>
      <c r="H67" s="28">
        <v>8.0</v>
      </c>
      <c r="I67" s="28">
        <v>8.0</v>
      </c>
      <c r="J67" s="28">
        <v>6.0</v>
      </c>
      <c r="K67" s="28">
        <f>IF(COUNT(F67:J67)&lt;5,"",ROUND((F67*Quesitos!$B$3+G67*Quesitos!$B$4+H67*Quesitos!$B$5+I67*Quesitos!$B$6+J67*Quesitos!$B$7)/SUM(Quesitos!$B$3:$B$7),2))</f>
        <v>7.24</v>
      </c>
    </row>
    <row r="68" ht="15.75" customHeight="1">
      <c r="A68" s="29">
        <v>64.0</v>
      </c>
      <c r="B68" s="30">
        <v>46200.0</v>
      </c>
      <c r="C68" s="29" t="s">
        <v>108</v>
      </c>
      <c r="D68" s="31" t="s">
        <v>152</v>
      </c>
      <c r="E68" s="32" t="s">
        <v>153</v>
      </c>
      <c r="F68" s="36">
        <v>6.0</v>
      </c>
      <c r="G68" s="36">
        <v>9.0</v>
      </c>
      <c r="H68" s="36">
        <v>3.0</v>
      </c>
      <c r="I68" s="36">
        <v>5.0</v>
      </c>
      <c r="J68" s="36">
        <v>5.0</v>
      </c>
      <c r="K68" s="36">
        <f>IF(COUNT(F68:J68)&lt;5,"",ROUND((F68*Quesitos!$B$3+G68*Quesitos!$B$4+H68*Quesitos!$B$5+I68*Quesitos!$B$6+J68*Quesitos!$B$7)/SUM(Quesitos!$B$3:$B$7),2))</f>
        <v>5.85</v>
      </c>
    </row>
    <row r="69" ht="15.75" customHeight="1">
      <c r="A69" s="21">
        <v>67.0</v>
      </c>
      <c r="B69" s="22">
        <v>46200.0</v>
      </c>
      <c r="C69" s="21" t="s">
        <v>122</v>
      </c>
      <c r="D69" s="23" t="s">
        <v>154</v>
      </c>
      <c r="E69" s="24" t="s">
        <v>141</v>
      </c>
      <c r="F69" s="28">
        <v>4.0</v>
      </c>
      <c r="G69" s="28">
        <v>7.0</v>
      </c>
      <c r="H69" s="28">
        <v>6.0</v>
      </c>
      <c r="I69" s="28">
        <v>5.0</v>
      </c>
      <c r="J69" s="28">
        <v>4.0</v>
      </c>
      <c r="K69" s="28">
        <f>IF(COUNT(F69:J69)&lt;5,"",ROUND((F69*Quesitos!$B$3+G69*Quesitos!$B$4+H69*Quesitos!$B$5+I69*Quesitos!$B$6+J69*Quesitos!$B$7)/SUM(Quesitos!$B$3:$B$7),2))</f>
        <v>5.35</v>
      </c>
    </row>
    <row r="70" ht="15.75" customHeight="1">
      <c r="A70" s="29">
        <v>68.0</v>
      </c>
      <c r="B70" s="30">
        <v>46200.0</v>
      </c>
      <c r="C70" s="29" t="s">
        <v>122</v>
      </c>
      <c r="D70" s="31" t="s">
        <v>155</v>
      </c>
      <c r="E70" s="32" t="s">
        <v>57</v>
      </c>
      <c r="F70" s="36">
        <v>6.0</v>
      </c>
      <c r="G70" s="36">
        <v>8.0</v>
      </c>
      <c r="H70" s="36">
        <v>8.0</v>
      </c>
      <c r="I70" s="36">
        <v>7.0</v>
      </c>
      <c r="J70" s="36">
        <v>6.0</v>
      </c>
      <c r="K70" s="36">
        <f>IF(COUNT(F70:J70)&lt;5,"",ROUND((F70*Quesitos!$B$3+G70*Quesitos!$B$4+H70*Quesitos!$B$5+I70*Quesitos!$B$6+J70*Quesitos!$B$7)/SUM(Quesitos!$B$3:$B$7),2))</f>
        <v>7.1</v>
      </c>
    </row>
    <row r="71" ht="15.75" customHeight="1">
      <c r="A71" s="21">
        <v>71.0</v>
      </c>
      <c r="B71" s="22">
        <v>46200.0</v>
      </c>
      <c r="C71" s="21" t="s">
        <v>156</v>
      </c>
      <c r="D71" s="23" t="s">
        <v>157</v>
      </c>
      <c r="E71" s="24" t="s">
        <v>83</v>
      </c>
      <c r="F71" s="28">
        <v>8.25</v>
      </c>
      <c r="G71" s="28">
        <v>9.5</v>
      </c>
      <c r="H71" s="28">
        <v>7.5</v>
      </c>
      <c r="I71" s="28">
        <v>8.0</v>
      </c>
      <c r="J71" s="28">
        <v>5.0</v>
      </c>
      <c r="K71" s="28">
        <f>IF(COUNT(F71:J71)&lt;5,"",ROUND((F71*Quesitos!$B$3+G71*Quesitos!$B$4+H71*Quesitos!$B$5+I71*Quesitos!$B$6+J71*Quesitos!$B$7)/SUM(Quesitos!$B$3:$B$7),2))</f>
        <v>8.04</v>
      </c>
    </row>
    <row r="72" ht="15.75" customHeight="1">
      <c r="A72" s="29">
        <v>72.0</v>
      </c>
      <c r="B72" s="30">
        <v>46200.0</v>
      </c>
      <c r="C72" s="29" t="s">
        <v>156</v>
      </c>
      <c r="D72" s="31" t="s">
        <v>158</v>
      </c>
      <c r="E72" s="32" t="s">
        <v>88</v>
      </c>
      <c r="F72" s="36">
        <v>6.25</v>
      </c>
      <c r="G72" s="36">
        <v>7.0</v>
      </c>
      <c r="H72" s="36">
        <v>7.0</v>
      </c>
      <c r="I72" s="36">
        <v>7.5</v>
      </c>
      <c r="J72" s="36">
        <v>10.0</v>
      </c>
      <c r="K72" s="36">
        <f>IF(COUNT(F72:J72)&lt;5,"",ROUND((F72*Quesitos!$B$3+G72*Quesitos!$B$4+H72*Quesitos!$B$5+I72*Quesitos!$B$6+J72*Quesitos!$B$7)/SUM(Quesitos!$B$3:$B$7),2))</f>
        <v>7.21</v>
      </c>
    </row>
    <row r="73" ht="15.75" customHeight="1">
      <c r="A73" s="21">
        <v>69.0</v>
      </c>
      <c r="B73" s="22">
        <v>46200.0</v>
      </c>
      <c r="C73" s="21" t="s">
        <v>55</v>
      </c>
      <c r="D73" s="23" t="s">
        <v>159</v>
      </c>
      <c r="E73" s="24" t="s">
        <v>160</v>
      </c>
      <c r="F73" s="43">
        <v>7.0</v>
      </c>
      <c r="G73" s="43">
        <v>10.0</v>
      </c>
      <c r="H73" s="28">
        <v>10.0</v>
      </c>
      <c r="I73" s="28">
        <v>10.0</v>
      </c>
      <c r="J73" s="28">
        <v>8.0</v>
      </c>
      <c r="K73" s="28">
        <f>IF(COUNT(F73:J73)&lt;5,"",ROUND((F73*Quesitos!$B$3+G73*Quesitos!$B$4+H73*Quesitos!$B$5+I73*Quesitos!$B$6+J73*Quesitos!$B$7)/SUM(Quesitos!$B$3:$B$7),2))</f>
        <v>9.05</v>
      </c>
    </row>
    <row r="74" ht="15.75" customHeight="1">
      <c r="A74" s="29">
        <v>70.0</v>
      </c>
      <c r="B74" s="30">
        <v>46200.0</v>
      </c>
      <c r="C74" s="29" t="s">
        <v>55</v>
      </c>
      <c r="D74" s="31" t="s">
        <v>161</v>
      </c>
      <c r="E74" s="32" t="s">
        <v>99</v>
      </c>
      <c r="F74" s="36">
        <v>7.0</v>
      </c>
      <c r="G74" s="36">
        <v>6.0</v>
      </c>
      <c r="H74" s="36">
        <v>5.0</v>
      </c>
      <c r="I74" s="36">
        <v>7.0</v>
      </c>
      <c r="J74" s="36">
        <v>5.0</v>
      </c>
      <c r="K74" s="36">
        <f>IF(COUNT(F74:J74)&lt;5,"",ROUND((F74*Quesitos!$B$3+G74*Quesitos!$B$4+H74*Quesitos!$B$5+I74*Quesitos!$B$6+J74*Quesitos!$B$7)/SUM(Quesitos!$B$3:$B$7),2))</f>
        <v>6.15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conditionalFormatting sqref="F3:K74">
    <cfRule type="expression" dxfId="4" priority="1">
      <formula>AND(ISNUMBER(F3),F3&gt;=0,F3&lt;2)</formula>
    </cfRule>
  </conditionalFormatting>
  <conditionalFormatting sqref="F3:K74">
    <cfRule type="expression" dxfId="5" priority="2">
      <formula>AND(ISNUMBER(F3),F3&gt;=2,F3&lt;5)</formula>
    </cfRule>
  </conditionalFormatting>
  <conditionalFormatting sqref="F3:K74">
    <cfRule type="expression" dxfId="6" priority="3">
      <formula>AND(ISNUMBER(F3),F3&gt;=5,F3&lt;7)</formula>
    </cfRule>
  </conditionalFormatting>
  <conditionalFormatting sqref="F3:K74">
    <cfRule type="expression" dxfId="7" priority="4">
      <formula>AND(ISNUMBER(F3),F3&gt;=7,F3&lt;9)</formula>
    </cfRule>
  </conditionalFormatting>
  <conditionalFormatting sqref="F3:K74">
    <cfRule type="expression" dxfId="8" priority="5">
      <formula>AND(ISNUMBER(F3),F3&gt;=9,F3&lt;=10)</formula>
    </cfRule>
  </conditionalFormatting>
  <dataValidations>
    <dataValidation type="decimal" allowBlank="1" showInputMessage="1" prompt="Nota - Digite uma nota de 0 a 10." sqref="F9:J74">
      <formula1>0.0</formula1>
      <formula2>10.0</formula2>
    </dataValidation>
    <dataValidation type="decimal" allowBlank="1" sqref="F3:J8">
      <formula1>0.0</formula1>
      <formula2>10.0</formula2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0"/>
    <col customWidth="1" min="3" max="3" width="11.0"/>
    <col customWidth="1" min="4" max="4" width="38.0"/>
    <col customWidth="1" min="5" max="5" width="10.0"/>
    <col customWidth="1" min="6" max="9" width="12.0"/>
    <col customWidth="1" min="10" max="10" width="20.0"/>
    <col customWidth="1" min="11" max="11" width="12.0"/>
  </cols>
  <sheetData>
    <row r="1" ht="27.75" customHeight="1">
      <c r="A1" s="19" t="s">
        <v>162</v>
      </c>
    </row>
    <row r="2" ht="36.0" customHeight="1">
      <c r="A2" s="20" t="s">
        <v>46</v>
      </c>
      <c r="B2" s="20" t="s">
        <v>47</v>
      </c>
      <c r="C2" s="20" t="s">
        <v>48</v>
      </c>
      <c r="D2" s="20" t="s">
        <v>49</v>
      </c>
      <c r="E2" s="20" t="s">
        <v>50</v>
      </c>
      <c r="F2" s="20" t="s">
        <v>24</v>
      </c>
      <c r="G2" s="20" t="s">
        <v>26</v>
      </c>
      <c r="H2" s="20" t="s">
        <v>28</v>
      </c>
      <c r="I2" s="20" t="s">
        <v>30</v>
      </c>
      <c r="J2" s="20" t="s">
        <v>32</v>
      </c>
      <c r="K2" s="20" t="s">
        <v>51</v>
      </c>
    </row>
    <row r="3">
      <c r="A3" s="21">
        <v>73.0</v>
      </c>
      <c r="B3" s="22">
        <v>46201.0</v>
      </c>
      <c r="C3" s="21" t="s">
        <v>52</v>
      </c>
      <c r="D3" s="23" t="s">
        <v>163</v>
      </c>
      <c r="E3" s="24" t="s">
        <v>67</v>
      </c>
      <c r="F3" s="28">
        <v>4.0</v>
      </c>
      <c r="G3" s="28">
        <v>5.0</v>
      </c>
      <c r="H3" s="28">
        <v>7.0</v>
      </c>
      <c r="I3" s="28">
        <v>8.0</v>
      </c>
      <c r="J3" s="28">
        <v>6.0</v>
      </c>
      <c r="K3" s="28">
        <f>IF(COUNT(F3:J3)&lt;5,"",ROUND((F3*Quesitos!$B$3+G3*Quesitos!$B$4+H3*Quesitos!$B$5+I3*Quesitos!$B$6+J3*Quesitos!$B$7)/SUM(Quesitos!$B$3:$B$7),2))</f>
        <v>5.85</v>
      </c>
    </row>
    <row r="4">
      <c r="A4" s="29">
        <v>76.0</v>
      </c>
      <c r="B4" s="30">
        <v>46202.0</v>
      </c>
      <c r="C4" s="29" t="s">
        <v>70</v>
      </c>
      <c r="D4" s="31" t="s">
        <v>164</v>
      </c>
      <c r="E4" s="32" t="s">
        <v>57</v>
      </c>
      <c r="F4" s="36">
        <v>5.0</v>
      </c>
      <c r="G4" s="36">
        <v>8.5</v>
      </c>
      <c r="H4" s="36">
        <v>8.0</v>
      </c>
      <c r="I4" s="36">
        <v>10.0</v>
      </c>
      <c r="J4" s="36">
        <v>8.0</v>
      </c>
      <c r="K4" s="36">
        <f>IF(COUNT(F4:J4)&lt;5,"",ROUND((F4*Quesitos!$B$3+G4*Quesitos!$B$4+H4*Quesitos!$B$5+I4*Quesitos!$B$6+J4*Quesitos!$B$7)/SUM(Quesitos!$B$3:$B$7),2))</f>
        <v>7.78</v>
      </c>
    </row>
    <row r="5">
      <c r="A5" s="21">
        <v>74.0</v>
      </c>
      <c r="B5" s="22">
        <v>46202.0</v>
      </c>
      <c r="C5" s="21" t="s">
        <v>165</v>
      </c>
      <c r="D5" s="23" t="s">
        <v>166</v>
      </c>
      <c r="E5" s="24" t="s">
        <v>167</v>
      </c>
      <c r="F5" s="28">
        <v>7.0</v>
      </c>
      <c r="G5" s="28">
        <v>7.5</v>
      </c>
      <c r="H5" s="28">
        <v>7.0</v>
      </c>
      <c r="I5" s="28">
        <v>10.0</v>
      </c>
      <c r="J5" s="28">
        <v>10.0</v>
      </c>
      <c r="K5" s="28">
        <f>IF(COUNT(F5:J5)&lt;5,"",ROUND((F5*Quesitos!$B$3+G5*Quesitos!$B$4+H5*Quesitos!$B$5+I5*Quesitos!$B$6+J5*Quesitos!$B$7)/SUM(Quesitos!$B$3:$B$7),2))</f>
        <v>8.03</v>
      </c>
    </row>
    <row r="6">
      <c r="A6" s="29">
        <v>75.0</v>
      </c>
      <c r="B6" s="30">
        <v>46202.0</v>
      </c>
      <c r="C6" s="29" t="s">
        <v>60</v>
      </c>
      <c r="D6" s="31" t="s">
        <v>168</v>
      </c>
      <c r="E6" s="32" t="s">
        <v>169</v>
      </c>
      <c r="F6" s="36">
        <v>6.0</v>
      </c>
      <c r="G6" s="36">
        <v>8.0</v>
      </c>
      <c r="H6" s="36">
        <v>9.0</v>
      </c>
      <c r="I6" s="36">
        <v>10.0</v>
      </c>
      <c r="J6" s="36">
        <v>8.0</v>
      </c>
      <c r="K6" s="36">
        <f>IF(COUNT(F6:J6)&lt;5,"",ROUND((F6*Quesitos!$B$3+G6*Quesitos!$B$4+H6*Quesitos!$B$5+I6*Quesitos!$B$6+J6*Quesitos!$B$7)/SUM(Quesitos!$B$3:$B$7),2))</f>
        <v>8.1</v>
      </c>
    </row>
    <row r="7">
      <c r="A7" s="21">
        <v>78.0</v>
      </c>
      <c r="B7" s="22">
        <v>46203.0</v>
      </c>
      <c r="C7" s="21" t="s">
        <v>70</v>
      </c>
      <c r="D7" s="23" t="s">
        <v>170</v>
      </c>
      <c r="E7" s="24" t="s">
        <v>127</v>
      </c>
      <c r="F7" s="28">
        <v>6.5</v>
      </c>
      <c r="G7" s="28">
        <v>7.5</v>
      </c>
      <c r="H7" s="28">
        <v>8.0</v>
      </c>
      <c r="I7" s="28">
        <v>8.0</v>
      </c>
      <c r="J7" s="28">
        <v>6.0</v>
      </c>
      <c r="K7" s="28">
        <f>IF(COUNT(F7:J7)&lt;5,"",ROUND((F7*Quesitos!$B$3+G7*Quesitos!$B$4+H7*Quesitos!$B$5+I7*Quesitos!$B$6+J7*Quesitos!$B$7)/SUM(Quesitos!$B$3:$B$7),2))</f>
        <v>7.3</v>
      </c>
    </row>
    <row r="8">
      <c r="A8" s="29">
        <v>77.0</v>
      </c>
      <c r="B8" s="30">
        <v>46203.0</v>
      </c>
      <c r="C8" s="29" t="s">
        <v>122</v>
      </c>
      <c r="D8" s="31" t="s">
        <v>171</v>
      </c>
      <c r="E8" s="32" t="s">
        <v>92</v>
      </c>
      <c r="F8" s="36">
        <v>7.0</v>
      </c>
      <c r="G8" s="36">
        <v>7.5</v>
      </c>
      <c r="H8" s="36">
        <v>4.0</v>
      </c>
      <c r="I8" s="36">
        <v>7.0</v>
      </c>
      <c r="J8" s="36">
        <v>6.0</v>
      </c>
      <c r="K8" s="36">
        <f>IF(COUNT(F8:J8)&lt;5,"",ROUND((F8*Quesitos!$B$3+G8*Quesitos!$B$4+H8*Quesitos!$B$5+I8*Quesitos!$B$6+J8*Quesitos!$B$7)/SUM(Quesitos!$B$3:$B$7),2))</f>
        <v>6.43</v>
      </c>
    </row>
    <row r="9">
      <c r="A9" s="21">
        <v>79.0</v>
      </c>
      <c r="B9" s="22">
        <v>46203.0</v>
      </c>
      <c r="C9" s="21" t="s">
        <v>60</v>
      </c>
      <c r="D9" s="23" t="s">
        <v>172</v>
      </c>
      <c r="E9" s="24" t="s">
        <v>54</v>
      </c>
      <c r="F9" s="28">
        <v>8.0</v>
      </c>
      <c r="G9" s="28">
        <v>7.5</v>
      </c>
      <c r="H9" s="28">
        <v>7.0</v>
      </c>
      <c r="I9" s="28">
        <v>7.0</v>
      </c>
      <c r="J9" s="28">
        <v>9.0</v>
      </c>
      <c r="K9" s="28">
        <f>IF(COUNT(F9:J9)&lt;5,"",ROUND((F9*Quesitos!$B$3+G9*Quesitos!$B$4+H9*Quesitos!$B$5+I9*Quesitos!$B$6+J9*Quesitos!$B$7)/SUM(Quesitos!$B$3:$B$7),2))</f>
        <v>7.58</v>
      </c>
    </row>
    <row r="10">
      <c r="A10" s="29">
        <v>80.0</v>
      </c>
      <c r="B10" s="30">
        <v>46204.0</v>
      </c>
      <c r="C10" s="29" t="s">
        <v>81</v>
      </c>
      <c r="D10" s="31" t="s">
        <v>173</v>
      </c>
      <c r="E10" s="32" t="s">
        <v>57</v>
      </c>
      <c r="F10" s="36">
        <v>6.0</v>
      </c>
      <c r="G10" s="36">
        <v>7.5</v>
      </c>
      <c r="H10" s="36">
        <v>8.5</v>
      </c>
      <c r="I10" s="36">
        <v>9.0</v>
      </c>
      <c r="J10" s="36">
        <v>8.0</v>
      </c>
      <c r="K10" s="36">
        <f>IF(COUNT(F10:J10)&lt;5,"",ROUND((F10*Quesitos!$B$3+G10*Quesitos!$B$4+H10*Quesitos!$B$5+I10*Quesitos!$B$6+J10*Quesitos!$B$7)/SUM(Quesitos!$B$3:$B$7),2))</f>
        <v>7.68</v>
      </c>
    </row>
    <row r="11">
      <c r="A11" s="21">
        <v>82.0</v>
      </c>
      <c r="B11" s="22">
        <v>46204.0</v>
      </c>
      <c r="C11" s="21" t="s">
        <v>73</v>
      </c>
      <c r="D11" s="23" t="s">
        <v>174</v>
      </c>
      <c r="E11" s="24" t="s">
        <v>125</v>
      </c>
      <c r="F11" s="28">
        <v>5.0</v>
      </c>
      <c r="G11" s="28">
        <v>10.0</v>
      </c>
      <c r="H11" s="28">
        <v>7.5</v>
      </c>
      <c r="I11" s="28">
        <v>10.0</v>
      </c>
      <c r="J11" s="28">
        <v>6.0</v>
      </c>
      <c r="K11" s="28">
        <f>IF(COUNT(F11:J11)&lt;5,"",ROUND((F11*Quesitos!$B$3+G11*Quesitos!$B$4+H11*Quesitos!$B$5+I11*Quesitos!$B$6+J11*Quesitos!$B$7)/SUM(Quesitos!$B$3:$B$7),2))</f>
        <v>7.85</v>
      </c>
    </row>
    <row r="12">
      <c r="A12" s="29">
        <v>81.0</v>
      </c>
      <c r="B12" s="30">
        <v>46204.0</v>
      </c>
      <c r="C12" s="29" t="s">
        <v>112</v>
      </c>
      <c r="D12" s="31" t="s">
        <v>175</v>
      </c>
      <c r="E12" s="32" t="s">
        <v>54</v>
      </c>
      <c r="F12" s="36">
        <v>6.0</v>
      </c>
      <c r="G12" s="36">
        <v>6.0</v>
      </c>
      <c r="H12" s="36">
        <v>6.0</v>
      </c>
      <c r="I12" s="36">
        <v>6.0</v>
      </c>
      <c r="J12" s="36">
        <v>7.0</v>
      </c>
      <c r="K12" s="36">
        <f>IF(COUNT(F12:J12)&lt;5,"",ROUND((F12*Quesitos!$B$3+G12*Quesitos!$B$4+H12*Quesitos!$B$5+I12*Quesitos!$B$6+J12*Quesitos!$B$7)/SUM(Quesitos!$B$3:$B$7),2))</f>
        <v>6.1</v>
      </c>
    </row>
    <row r="13">
      <c r="A13" s="21">
        <v>84.0</v>
      </c>
      <c r="B13" s="22">
        <v>46205.0</v>
      </c>
      <c r="C13" s="21" t="s">
        <v>52</v>
      </c>
      <c r="D13" s="23" t="s">
        <v>176</v>
      </c>
      <c r="E13" s="24" t="s">
        <v>92</v>
      </c>
      <c r="F13" s="28">
        <v>6.0</v>
      </c>
      <c r="G13" s="28">
        <v>7.0</v>
      </c>
      <c r="H13" s="28">
        <v>6.0</v>
      </c>
      <c r="I13" s="28">
        <v>5.0</v>
      </c>
      <c r="J13" s="28">
        <v>6.0</v>
      </c>
      <c r="K13" s="28">
        <f>IF(COUNT(F13:J13)&lt;5,"",ROUND((F13*Quesitos!$B$3+G13*Quesitos!$B$4+H13*Quesitos!$B$5+I13*Quesitos!$B$6+J13*Quesitos!$B$7)/SUM(Quesitos!$B$3:$B$7),2))</f>
        <v>6.05</v>
      </c>
    </row>
    <row r="14">
      <c r="A14" s="29">
        <v>83.0</v>
      </c>
      <c r="B14" s="30">
        <v>46205.0</v>
      </c>
      <c r="C14" s="29" t="s">
        <v>76</v>
      </c>
      <c r="D14" s="31" t="s">
        <v>177</v>
      </c>
      <c r="E14" s="32" t="s">
        <v>57</v>
      </c>
      <c r="F14" s="36">
        <v>5.0</v>
      </c>
      <c r="G14" s="36">
        <v>10.0</v>
      </c>
      <c r="H14" s="36">
        <v>10.0</v>
      </c>
      <c r="I14" s="36">
        <v>10.0</v>
      </c>
      <c r="J14" s="36">
        <v>9.0</v>
      </c>
      <c r="K14" s="36">
        <f>IF(COUNT(F14:J14)&lt;5,"",ROUND((F14*Quesitos!$B$3+G14*Quesitos!$B$4+H14*Quesitos!$B$5+I14*Quesitos!$B$6+J14*Quesitos!$B$7)/SUM(Quesitos!$B$3:$B$7),2))</f>
        <v>8.65</v>
      </c>
    </row>
    <row r="15">
      <c r="A15" s="21">
        <v>85.0</v>
      </c>
      <c r="B15" s="22">
        <v>46206.0</v>
      </c>
      <c r="C15" s="21" t="s">
        <v>108</v>
      </c>
      <c r="D15" s="23" t="s">
        <v>178</v>
      </c>
      <c r="E15" s="24" t="s">
        <v>54</v>
      </c>
      <c r="F15" s="28">
        <v>6.0</v>
      </c>
      <c r="G15" s="28">
        <v>6.5</v>
      </c>
      <c r="H15" s="28">
        <v>6.0</v>
      </c>
      <c r="I15" s="28">
        <v>6.0</v>
      </c>
      <c r="J15" s="28">
        <v>7.0</v>
      </c>
      <c r="K15" s="28">
        <f>IF(COUNT(F15:J15)&lt;5,"",ROUND((F15*Quesitos!$B$3+G15*Quesitos!$B$4+H15*Quesitos!$B$5+I15*Quesitos!$B$6+J15*Quesitos!$B$7)/SUM(Quesitos!$B$3:$B$7),2))</f>
        <v>6.23</v>
      </c>
    </row>
    <row r="16">
      <c r="A16" s="29">
        <v>88.0</v>
      </c>
      <c r="B16" s="30">
        <v>46206.0</v>
      </c>
      <c r="C16" s="29" t="s">
        <v>179</v>
      </c>
      <c r="D16" s="31" t="s">
        <v>180</v>
      </c>
      <c r="E16" s="32" t="s">
        <v>181</v>
      </c>
      <c r="F16" s="36">
        <v>5.0</v>
      </c>
      <c r="G16" s="36">
        <v>7.0</v>
      </c>
      <c r="H16" s="36">
        <v>8.0</v>
      </c>
      <c r="I16" s="36">
        <v>8.0</v>
      </c>
      <c r="J16" s="36">
        <v>8.0</v>
      </c>
      <c r="K16" s="36">
        <f>IF(COUNT(F16:J16)&lt;5,"",ROUND((F16*Quesitos!$B$3+G16*Quesitos!$B$4+H16*Quesitos!$B$5+I16*Quesitos!$B$6+J16*Quesitos!$B$7)/SUM(Quesitos!$B$3:$B$7),2))</f>
        <v>7</v>
      </c>
    </row>
    <row r="17">
      <c r="A17" s="21">
        <v>86.0</v>
      </c>
      <c r="B17" s="22">
        <v>46206.0</v>
      </c>
      <c r="C17" s="21" t="s">
        <v>64</v>
      </c>
      <c r="D17" s="23" t="s">
        <v>182</v>
      </c>
      <c r="E17" s="24" t="s">
        <v>125</v>
      </c>
      <c r="F17" s="43">
        <v>8.5</v>
      </c>
      <c r="G17" s="28">
        <v>10.0</v>
      </c>
      <c r="H17" s="28">
        <v>10.0</v>
      </c>
      <c r="I17" s="28">
        <v>10.0</v>
      </c>
      <c r="J17" s="28">
        <v>10.0</v>
      </c>
      <c r="K17" s="28">
        <f>IF(COUNT(F17:J17)&lt;5,"",ROUND((F17*Quesitos!$B$3+G17*Quesitos!$B$4+H17*Quesitos!$B$5+I17*Quesitos!$B$6+J17*Quesitos!$B$7)/SUM(Quesitos!$B$3:$B$7),2))</f>
        <v>9.63</v>
      </c>
    </row>
    <row r="18">
      <c r="A18" s="29">
        <v>87.0</v>
      </c>
      <c r="B18" s="30">
        <v>46206.0</v>
      </c>
      <c r="C18" s="29" t="s">
        <v>183</v>
      </c>
      <c r="D18" s="31" t="s">
        <v>184</v>
      </c>
      <c r="E18" s="32" t="s">
        <v>78</v>
      </c>
      <c r="F18" s="36">
        <v>5.0</v>
      </c>
      <c r="G18" s="36">
        <v>6.0</v>
      </c>
      <c r="H18" s="36">
        <v>7.5</v>
      </c>
      <c r="I18" s="36">
        <v>7.0</v>
      </c>
      <c r="J18" s="36">
        <v>5.0</v>
      </c>
      <c r="K18" s="36">
        <f>IF(COUNT(F18:J18)&lt;5,"",ROUND((F18*Quesitos!$B$3+G18*Quesitos!$B$4+H18*Quesitos!$B$5+I18*Quesitos!$B$6+J18*Quesitos!$B$7)/SUM(Quesitos!$B$3:$B$7),2))</f>
        <v>6.15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conditionalFormatting sqref="F3:K18">
    <cfRule type="expression" dxfId="4" priority="1">
      <formula>AND(ISNUMBER(F3),F3&gt;=0,F3&lt;2)</formula>
    </cfRule>
  </conditionalFormatting>
  <conditionalFormatting sqref="F3:K18">
    <cfRule type="expression" dxfId="5" priority="2">
      <formula>AND(ISNUMBER(F3),F3&gt;=2,F3&lt;5)</formula>
    </cfRule>
  </conditionalFormatting>
  <conditionalFormatting sqref="F3:K18">
    <cfRule type="expression" dxfId="6" priority="3">
      <formula>AND(ISNUMBER(F3),F3&gt;=5,F3&lt;7)</formula>
    </cfRule>
  </conditionalFormatting>
  <conditionalFormatting sqref="F3:K18">
    <cfRule type="expression" dxfId="7" priority="4">
      <formula>AND(ISNUMBER(F3),F3&gt;=7,F3&lt;9)</formula>
    </cfRule>
  </conditionalFormatting>
  <conditionalFormatting sqref="F3:K18">
    <cfRule type="expression" dxfId="8" priority="5">
      <formula>AND(ISNUMBER(F3),F3&gt;=9,F3&lt;=10)</formula>
    </cfRule>
  </conditionalFormatting>
  <dataValidations>
    <dataValidation type="decimal" allowBlank="1" showInputMessage="1" prompt="Nota - Digite uma nota de 0 a 10." sqref="F3:J18">
      <formula1>0.0</formula1>
      <formula2>10.0</formula2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0"/>
    <col customWidth="1" min="3" max="3" width="11.0"/>
    <col customWidth="1" min="4" max="4" width="38.0"/>
    <col customWidth="1" min="5" max="5" width="10.0"/>
    <col customWidth="1" min="6" max="9" width="12.0"/>
    <col customWidth="1" min="10" max="10" width="20.0"/>
    <col customWidth="1" min="11" max="11" width="12.0"/>
  </cols>
  <sheetData>
    <row r="1" ht="27.75" customHeight="1">
      <c r="A1" s="19" t="s">
        <v>11</v>
      </c>
    </row>
    <row r="2" ht="36.0" customHeight="1">
      <c r="A2" s="20" t="s">
        <v>46</v>
      </c>
      <c r="B2" s="20" t="s">
        <v>47</v>
      </c>
      <c r="C2" s="20" t="s">
        <v>48</v>
      </c>
      <c r="D2" s="20" t="s">
        <v>49</v>
      </c>
      <c r="E2" s="20" t="s">
        <v>50</v>
      </c>
      <c r="F2" s="20" t="s">
        <v>24</v>
      </c>
      <c r="G2" s="20" t="s">
        <v>26</v>
      </c>
      <c r="H2" s="20" t="s">
        <v>28</v>
      </c>
      <c r="I2" s="20" t="s">
        <v>30</v>
      </c>
      <c r="J2" s="20" t="s">
        <v>32</v>
      </c>
      <c r="K2" s="20" t="s">
        <v>51</v>
      </c>
    </row>
    <row r="3">
      <c r="A3" s="21">
        <v>90.0</v>
      </c>
      <c r="B3" s="22">
        <v>46207.0</v>
      </c>
      <c r="C3" s="21" t="s">
        <v>70</v>
      </c>
      <c r="D3" s="23" t="s">
        <v>185</v>
      </c>
      <c r="E3" s="24" t="s">
        <v>136</v>
      </c>
      <c r="F3" s="28">
        <v>7.0</v>
      </c>
      <c r="G3" s="28">
        <v>8.5</v>
      </c>
      <c r="H3" s="28">
        <v>8.0</v>
      </c>
      <c r="I3" s="28">
        <v>6.0</v>
      </c>
      <c r="J3" s="28">
        <v>7.0</v>
      </c>
      <c r="K3" s="28">
        <f>IF(COUNT(F3:J3)&lt;5,"",ROUND((F3*Quesitos!$B$3+G3*Quesitos!$B$4+H3*Quesitos!$B$5+I3*Quesitos!$B$6+J3*Quesitos!$B$7)/SUM(Quesitos!$B$3:$B$7),2))</f>
        <v>7.38</v>
      </c>
    </row>
    <row r="4">
      <c r="A4" s="29">
        <v>89.0</v>
      </c>
      <c r="B4" s="30">
        <v>46207.0</v>
      </c>
      <c r="C4" s="29" t="s">
        <v>122</v>
      </c>
      <c r="D4" s="31" t="s">
        <v>186</v>
      </c>
      <c r="E4" s="32" t="s">
        <v>67</v>
      </c>
      <c r="F4" s="36">
        <v>9.0</v>
      </c>
      <c r="G4" s="36">
        <v>9.5</v>
      </c>
      <c r="H4" s="36">
        <v>7.0</v>
      </c>
      <c r="I4" s="36">
        <v>8.0</v>
      </c>
      <c r="J4" s="36">
        <v>8.0</v>
      </c>
      <c r="K4" s="36">
        <f>IF(COUNT(F4:J4)&lt;5,"",ROUND((F4*Quesitos!$B$3+G4*Quesitos!$B$4+H4*Quesitos!$B$5+I4*Quesitos!$B$6+J4*Quesitos!$B$7)/SUM(Quesitos!$B$3:$B$7),2))</f>
        <v>8.43</v>
      </c>
    </row>
    <row r="5">
      <c r="A5" s="21">
        <v>91.0</v>
      </c>
      <c r="B5" s="22">
        <v>46208.0</v>
      </c>
      <c r="C5" s="21" t="s">
        <v>73</v>
      </c>
      <c r="D5" s="23" t="s">
        <v>187</v>
      </c>
      <c r="E5" s="24" t="s">
        <v>127</v>
      </c>
      <c r="F5" s="28">
        <v>6.0</v>
      </c>
      <c r="G5" s="28">
        <v>8.0</v>
      </c>
      <c r="H5" s="28">
        <v>9.0</v>
      </c>
      <c r="I5" s="28">
        <v>8.5</v>
      </c>
      <c r="J5" s="28">
        <v>9.0</v>
      </c>
      <c r="K5" s="28">
        <f>IF(COUNT(F5:J5)&lt;5,"",ROUND((F5*Quesitos!$B$3+G5*Quesitos!$B$4+H5*Quesitos!$B$5+I5*Quesitos!$B$6+J5*Quesitos!$B$7)/SUM(Quesitos!$B$3:$B$7),2))</f>
        <v>7.9</v>
      </c>
    </row>
    <row r="6">
      <c r="A6" s="29">
        <v>92.0</v>
      </c>
      <c r="B6" s="30">
        <v>46208.0</v>
      </c>
      <c r="C6" s="29" t="s">
        <v>112</v>
      </c>
      <c r="D6" s="31" t="s">
        <v>188</v>
      </c>
      <c r="E6" s="32" t="s">
        <v>203</v>
      </c>
      <c r="F6" s="36">
        <v>7.0</v>
      </c>
      <c r="G6" s="36">
        <v>10.0</v>
      </c>
      <c r="H6" s="36">
        <v>9.5</v>
      </c>
      <c r="I6" s="36">
        <v>10.0</v>
      </c>
      <c r="J6" s="36">
        <v>10.0</v>
      </c>
      <c r="K6" s="36">
        <f>IF(COUNT(F6:J6)&lt;5,"",ROUND((F6*Quesitos!$B$3+G6*Quesitos!$B$4+H6*Quesitos!$B$5+I6*Quesitos!$B$6+J6*Quesitos!$B$7)/SUM(Quesitos!$B$3:$B$7),2))</f>
        <v>9.15</v>
      </c>
    </row>
    <row r="7">
      <c r="A7" s="21">
        <v>93.0</v>
      </c>
      <c r="B7" s="22">
        <v>46209.0</v>
      </c>
      <c r="C7" s="21" t="s">
        <v>52</v>
      </c>
      <c r="D7" s="23" t="s">
        <v>189</v>
      </c>
      <c r="E7" s="24" t="s">
        <v>67</v>
      </c>
      <c r="F7" s="28">
        <v>4.0</v>
      </c>
      <c r="G7" s="28">
        <v>5.0</v>
      </c>
      <c r="H7" s="28">
        <v>6.5</v>
      </c>
      <c r="I7" s="28">
        <v>9.0</v>
      </c>
      <c r="J7" s="28">
        <v>6.0</v>
      </c>
      <c r="K7" s="28">
        <f>IF(COUNT(F7:J7)&lt;5,"",ROUND((F7*Quesitos!$B$3+G7*Quesitos!$B$4+H7*Quesitos!$B$5+I7*Quesitos!$B$6+J7*Quesitos!$B$7)/SUM(Quesitos!$B$3:$B$7),2))</f>
        <v>5.95</v>
      </c>
    </row>
    <row r="8">
      <c r="A8" s="29">
        <v>94.0</v>
      </c>
      <c r="B8" s="30">
        <v>46209.0</v>
      </c>
      <c r="C8" s="29" t="s">
        <v>112</v>
      </c>
      <c r="D8" s="31" t="s">
        <v>190</v>
      </c>
      <c r="E8" s="32" t="s">
        <v>90</v>
      </c>
      <c r="F8" s="36">
        <v>7.5</v>
      </c>
      <c r="G8" s="36">
        <v>6.0</v>
      </c>
      <c r="H8" s="36">
        <v>8.0</v>
      </c>
      <c r="I8" s="36">
        <v>6.0</v>
      </c>
      <c r="J8" s="36">
        <v>9.0</v>
      </c>
      <c r="K8" s="36">
        <f>IF(COUNT(F8:J8)&lt;5,"",ROUND((F8*Quesitos!$B$3+G8*Quesitos!$B$4+H8*Quesitos!$B$5+I8*Quesitos!$B$6+J8*Quesitos!$B$7)/SUM(Quesitos!$B$3:$B$7),2))</f>
        <v>7.08</v>
      </c>
    </row>
    <row r="9">
      <c r="A9" s="21">
        <v>95.0</v>
      </c>
      <c r="B9" s="22">
        <v>46210.0</v>
      </c>
      <c r="C9" s="21" t="s">
        <v>81</v>
      </c>
      <c r="D9" s="23" t="s">
        <v>191</v>
      </c>
      <c r="E9" s="24" t="s">
        <v>125</v>
      </c>
      <c r="F9" s="28">
        <v>7.5</v>
      </c>
      <c r="G9" s="28">
        <v>10.0</v>
      </c>
      <c r="H9" s="28">
        <v>9.0</v>
      </c>
      <c r="I9" s="28">
        <v>10.0</v>
      </c>
      <c r="J9" s="28">
        <v>10.0</v>
      </c>
      <c r="K9" s="28">
        <f>IF(COUNT(F9:J9)&lt;5,"",ROUND((F9*Quesitos!$B$3+G9*Quesitos!$B$4+H9*Quesitos!$B$5+I9*Quesitos!$B$6+J9*Quesitos!$B$7)/SUM(Quesitos!$B$3:$B$7),2))</f>
        <v>9.18</v>
      </c>
    </row>
    <row r="10">
      <c r="A10" s="29">
        <v>96.0</v>
      </c>
      <c r="B10" s="30">
        <v>46210.0</v>
      </c>
      <c r="C10" s="29" t="s">
        <v>73</v>
      </c>
      <c r="D10" s="31" t="s">
        <v>192</v>
      </c>
      <c r="E10" s="32" t="s">
        <v>193</v>
      </c>
      <c r="F10" s="36">
        <v>5.0</v>
      </c>
      <c r="G10" s="36">
        <v>6.0</v>
      </c>
      <c r="H10" s="36">
        <v>10.0</v>
      </c>
      <c r="I10" s="36">
        <v>8.0</v>
      </c>
      <c r="J10" s="36">
        <v>7.0</v>
      </c>
      <c r="K10" s="36">
        <f>IF(COUNT(F10:J10)&lt;5,"",ROUND((F10*Quesitos!$B$3+G10*Quesitos!$B$4+H10*Quesitos!$B$5+I10*Quesitos!$B$6+J10*Quesitos!$B$7)/SUM(Quesitos!$B$3:$B$7),2))</f>
        <v>7.05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conditionalFormatting sqref="F3:K10">
    <cfRule type="expression" dxfId="4" priority="1">
      <formula>AND(ISNUMBER(F3),F3&gt;=0,F3&lt;2)</formula>
    </cfRule>
  </conditionalFormatting>
  <conditionalFormatting sqref="F3:K10">
    <cfRule type="expression" dxfId="5" priority="2">
      <formula>AND(ISNUMBER(F3),F3&gt;=2,F3&lt;5)</formula>
    </cfRule>
  </conditionalFormatting>
  <conditionalFormatting sqref="F3:K10">
    <cfRule type="expression" dxfId="6" priority="3">
      <formula>AND(ISNUMBER(F3),F3&gt;=5,F3&lt;7)</formula>
    </cfRule>
  </conditionalFormatting>
  <conditionalFormatting sqref="F3:K10">
    <cfRule type="expression" dxfId="7" priority="4">
      <formula>AND(ISNUMBER(F3),F3&gt;=7,F3&lt;9)</formula>
    </cfRule>
  </conditionalFormatting>
  <conditionalFormatting sqref="F3:K10">
    <cfRule type="expression" dxfId="8" priority="5">
      <formula>AND(ISNUMBER(F3),F3&gt;=9,F3&lt;=10)</formula>
    </cfRule>
  </conditionalFormatting>
  <dataValidations>
    <dataValidation type="decimal" allowBlank="1" showInputMessage="1" prompt="Nota - Digite uma nota de 0 a 10." sqref="F3:J10">
      <formula1>0.0</formula1>
      <formula2>10.0</formula2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0"/>
    <col customWidth="1" min="3" max="3" width="11.0"/>
    <col customWidth="1" min="4" max="4" width="38.0"/>
    <col customWidth="1" min="5" max="5" width="10.0"/>
    <col customWidth="1" min="6" max="9" width="12.0"/>
    <col customWidth="1" min="10" max="10" width="20.0"/>
    <col customWidth="1" min="11" max="11" width="12.0"/>
  </cols>
  <sheetData>
    <row r="1" ht="27.75" customHeight="1">
      <c r="A1" s="19" t="s">
        <v>13</v>
      </c>
    </row>
    <row r="2" ht="36.0" customHeight="1">
      <c r="A2" s="20" t="s">
        <v>46</v>
      </c>
      <c r="B2" s="20" t="s">
        <v>47</v>
      </c>
      <c r="C2" s="20" t="s">
        <v>48</v>
      </c>
      <c r="D2" s="20" t="s">
        <v>49</v>
      </c>
      <c r="E2" s="20" t="s">
        <v>50</v>
      </c>
      <c r="F2" s="20" t="s">
        <v>24</v>
      </c>
      <c r="G2" s="20" t="s">
        <v>26</v>
      </c>
      <c r="H2" s="20" t="s">
        <v>28</v>
      </c>
      <c r="I2" s="20" t="s">
        <v>30</v>
      </c>
      <c r="J2" s="20" t="s">
        <v>32</v>
      </c>
      <c r="K2" s="20" t="s">
        <v>51</v>
      </c>
    </row>
    <row r="3">
      <c r="A3" s="21">
        <v>97.0</v>
      </c>
      <c r="B3" s="22">
        <v>46212.0</v>
      </c>
      <c r="C3" s="21" t="s">
        <v>73</v>
      </c>
      <c r="D3" s="23" t="s">
        <v>194</v>
      </c>
      <c r="E3" s="24" t="s">
        <v>54</v>
      </c>
      <c r="F3" s="28">
        <v>6.0</v>
      </c>
      <c r="G3" s="28">
        <v>7.5</v>
      </c>
      <c r="H3" s="28">
        <v>6.0</v>
      </c>
      <c r="I3" s="28">
        <v>5.0</v>
      </c>
      <c r="J3" s="28">
        <v>5.0</v>
      </c>
      <c r="K3" s="28">
        <f>IF(COUNT(F3:J3)&lt;5,"",ROUND((F3*Quesitos!$B$3+G3*Quesitos!$B$4+H3*Quesitos!$B$5+I3*Quesitos!$B$6+J3*Quesitos!$B$7)/SUM(Quesitos!$B$3:$B$7),2))</f>
        <v>6.08</v>
      </c>
    </row>
    <row r="4">
      <c r="A4" s="29">
        <v>98.0</v>
      </c>
      <c r="B4" s="30">
        <v>46213.0</v>
      </c>
      <c r="C4" s="29" t="s">
        <v>52</v>
      </c>
      <c r="D4" s="31" t="s">
        <v>195</v>
      </c>
      <c r="E4" s="32" t="s">
        <v>57</v>
      </c>
      <c r="F4" s="36">
        <v>6.0</v>
      </c>
      <c r="G4" s="36">
        <v>8.0</v>
      </c>
      <c r="H4" s="36">
        <v>8.0</v>
      </c>
      <c r="I4" s="36">
        <v>9.5</v>
      </c>
      <c r="J4" s="36">
        <v>6.0</v>
      </c>
      <c r="K4" s="36">
        <f>IF(COUNT(F4:J4)&lt;5,"",ROUND((F4*Quesitos!$B$3+G4*Quesitos!$B$4+H4*Quesitos!$B$5+I4*Quesitos!$B$6+J4*Quesitos!$B$7)/SUM(Quesitos!$B$3:$B$7),2))</f>
        <v>7.6</v>
      </c>
    </row>
    <row r="5">
      <c r="A5" s="21">
        <v>99.0</v>
      </c>
      <c r="B5" s="22">
        <v>46214.0</v>
      </c>
      <c r="C5" s="21" t="s">
        <v>122</v>
      </c>
      <c r="D5" s="23" t="s">
        <v>196</v>
      </c>
      <c r="E5" s="24" t="s">
        <v>127</v>
      </c>
      <c r="F5" s="28">
        <v>7.0</v>
      </c>
      <c r="G5" s="28">
        <v>8.0</v>
      </c>
      <c r="H5" s="28">
        <v>9.0</v>
      </c>
      <c r="I5" s="28">
        <v>9.0</v>
      </c>
      <c r="J5" s="28">
        <v>6.0</v>
      </c>
      <c r="K5" s="28">
        <f>IF(COUNT(F5:J5)&lt;5,"",ROUND((F5*Quesitos!$B$3+G5*Quesitos!$B$4+H5*Quesitos!$B$5+I5*Quesitos!$B$6+J5*Quesitos!$B$7)/SUM(Quesitos!$B$3:$B$7),2))</f>
        <v>7.95</v>
      </c>
    </row>
    <row r="6">
      <c r="A6" s="29">
        <v>100.0</v>
      </c>
      <c r="B6" s="30">
        <v>46214.0</v>
      </c>
      <c r="C6" s="29" t="s">
        <v>60</v>
      </c>
      <c r="D6" s="31" t="s">
        <v>197</v>
      </c>
      <c r="E6" s="32" t="s">
        <v>88</v>
      </c>
      <c r="F6" s="36">
        <v>6.0</v>
      </c>
      <c r="G6" s="36">
        <v>9.0</v>
      </c>
      <c r="H6" s="36">
        <v>7.5</v>
      </c>
      <c r="I6" s="36">
        <v>9.0</v>
      </c>
      <c r="J6" s="36">
        <v>6.0</v>
      </c>
      <c r="K6" s="36">
        <f>IF(COUNT(F6:J6)&lt;5,"",ROUND((F6*Quesitos!$B$3+G6*Quesitos!$B$4+H6*Quesitos!$B$5+I6*Quesitos!$B$6+J6*Quesitos!$B$7)/SUM(Quesitos!$B$3:$B$7),2))</f>
        <v>7.65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conditionalFormatting sqref="F3:K6">
    <cfRule type="expression" dxfId="4" priority="1">
      <formula>AND(ISNUMBER(F3),F3&gt;=0,F3&lt;2)</formula>
    </cfRule>
  </conditionalFormatting>
  <conditionalFormatting sqref="F3:K6">
    <cfRule type="expression" dxfId="5" priority="2">
      <formula>AND(ISNUMBER(F3),F3&gt;=2,F3&lt;5)</formula>
    </cfRule>
  </conditionalFormatting>
  <conditionalFormatting sqref="F3:K6">
    <cfRule type="expression" dxfId="6" priority="3">
      <formula>AND(ISNUMBER(F3),F3&gt;=5,F3&lt;7)</formula>
    </cfRule>
  </conditionalFormatting>
  <conditionalFormatting sqref="F3:K6">
    <cfRule type="expression" dxfId="7" priority="4">
      <formula>AND(ISNUMBER(F3),F3&gt;=7,F3&lt;9)</formula>
    </cfRule>
  </conditionalFormatting>
  <conditionalFormatting sqref="F3:K6">
    <cfRule type="expression" dxfId="8" priority="5">
      <formula>AND(ISNUMBER(F3),F3&gt;=9,F3&lt;=10)</formula>
    </cfRule>
  </conditionalFormatting>
  <dataValidations>
    <dataValidation type="decimal" allowBlank="1" showInputMessage="1" prompt="Nota - Digite uma nota de 0 a 10." sqref="F3:J6">
      <formula1>0.0</formula1>
      <formula2>10.0</formula2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0"/>
    <col customWidth="1" min="3" max="3" width="11.0"/>
    <col customWidth="1" min="4" max="4" width="38.0"/>
    <col customWidth="1" min="5" max="5" width="10.0"/>
    <col customWidth="1" min="6" max="9" width="12.0"/>
    <col customWidth="1" min="10" max="10" width="20.0"/>
    <col customWidth="1" min="11" max="11" width="12.0"/>
  </cols>
  <sheetData>
    <row r="1" ht="27.75" customHeight="1">
      <c r="A1" s="19" t="s">
        <v>15</v>
      </c>
    </row>
    <row r="2" ht="36.0" customHeight="1">
      <c r="A2" s="20" t="s">
        <v>46</v>
      </c>
      <c r="B2" s="20" t="s">
        <v>47</v>
      </c>
      <c r="C2" s="20" t="s">
        <v>48</v>
      </c>
      <c r="D2" s="20" t="s">
        <v>49</v>
      </c>
      <c r="E2" s="20" t="s">
        <v>50</v>
      </c>
      <c r="F2" s="20" t="s">
        <v>24</v>
      </c>
      <c r="G2" s="20" t="s">
        <v>26</v>
      </c>
      <c r="H2" s="20" t="s">
        <v>28</v>
      </c>
      <c r="I2" s="20" t="s">
        <v>30</v>
      </c>
      <c r="J2" s="20" t="s">
        <v>32</v>
      </c>
      <c r="K2" s="20" t="s">
        <v>51</v>
      </c>
    </row>
    <row r="3">
      <c r="A3" s="21">
        <v>101.0</v>
      </c>
      <c r="B3" s="22">
        <v>46217.0</v>
      </c>
      <c r="C3" s="21" t="s">
        <v>52</v>
      </c>
      <c r="D3" s="23" t="s">
        <v>198</v>
      </c>
      <c r="E3" s="24" t="s">
        <v>141</v>
      </c>
      <c r="F3" s="28">
        <v>6.0</v>
      </c>
      <c r="G3" s="28">
        <v>7.0</v>
      </c>
      <c r="H3" s="28">
        <v>8.0</v>
      </c>
      <c r="I3" s="28">
        <v>9.0</v>
      </c>
      <c r="J3" s="28">
        <v>6.0</v>
      </c>
      <c r="K3" s="28">
        <f>IF(COUNT(F3:J3)&lt;5,"",ROUND((F3*Quesitos!$B$3+G3*Quesitos!$B$4+H3*Quesitos!$B$5+I3*Quesitos!$B$6+J3*Quesitos!$B$7)/SUM(Quesitos!$B$3:$B$7),2))</f>
        <v>7.25</v>
      </c>
    </row>
    <row r="4">
      <c r="A4" s="29">
        <v>102.0</v>
      </c>
      <c r="B4" s="30">
        <v>46218.0</v>
      </c>
      <c r="C4" s="29" t="s">
        <v>52</v>
      </c>
      <c r="D4" s="31" t="s">
        <v>199</v>
      </c>
      <c r="E4" s="32" t="s">
        <v>127</v>
      </c>
      <c r="F4" s="41">
        <v>8.0</v>
      </c>
      <c r="G4" s="36">
        <v>10.0</v>
      </c>
      <c r="H4" s="36">
        <v>10.0</v>
      </c>
      <c r="I4" s="36">
        <v>10.0</v>
      </c>
      <c r="J4" s="36">
        <v>10.0</v>
      </c>
      <c r="K4" s="36">
        <f>IF(COUNT(F4:J4)&lt;5,"",ROUND((F4*Quesitos!$B$3+G4*Quesitos!$B$4+H4*Quesitos!$B$5+I4*Quesitos!$B$6+J4*Quesitos!$B$7)/SUM(Quesitos!$B$3:$B$7),2))</f>
        <v>9.5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conditionalFormatting sqref="F3:K4">
    <cfRule type="expression" dxfId="4" priority="1">
      <formula>AND(ISNUMBER(F3),F3&gt;=0,F3&lt;2)</formula>
    </cfRule>
  </conditionalFormatting>
  <conditionalFormatting sqref="F3:K4">
    <cfRule type="expression" dxfId="5" priority="2">
      <formula>AND(ISNUMBER(F3),F3&gt;=2,F3&lt;5)</formula>
    </cfRule>
  </conditionalFormatting>
  <conditionalFormatting sqref="F3:K4">
    <cfRule type="expression" dxfId="6" priority="3">
      <formula>AND(ISNUMBER(F3),F3&gt;=5,F3&lt;7)</formula>
    </cfRule>
  </conditionalFormatting>
  <conditionalFormatting sqref="F3:K4">
    <cfRule type="expression" dxfId="7" priority="4">
      <formula>AND(ISNUMBER(F3),F3&gt;=7,F3&lt;9)</formula>
    </cfRule>
  </conditionalFormatting>
  <conditionalFormatting sqref="F3:K4">
    <cfRule type="expression" dxfId="8" priority="5">
      <formula>AND(ISNUMBER(F3),F3&gt;=9,F3&lt;=10)</formula>
    </cfRule>
  </conditionalFormatting>
  <dataValidations>
    <dataValidation type="decimal" allowBlank="1" showInputMessage="1" prompt="Nota - Digite uma nota de 0 a 10." sqref="F3:J4">
      <formula1>0.0</formula1>
      <formula2>10.0</formula2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0"/>
    <col customWidth="1" min="3" max="3" width="11.0"/>
    <col customWidth="1" min="4" max="4" width="38.0"/>
    <col customWidth="1" min="5" max="5" width="10.0"/>
    <col customWidth="1" min="6" max="9" width="12.0"/>
    <col customWidth="1" min="10" max="10" width="20.0"/>
    <col customWidth="1" min="11" max="11" width="12.0"/>
  </cols>
  <sheetData>
    <row r="1" ht="27.75" customHeight="1">
      <c r="A1" s="19" t="s">
        <v>17</v>
      </c>
    </row>
    <row r="2" ht="36.0" customHeight="1">
      <c r="A2" s="20" t="s">
        <v>46</v>
      </c>
      <c r="B2" s="20" t="s">
        <v>47</v>
      </c>
      <c r="C2" s="20" t="s">
        <v>48</v>
      </c>
      <c r="D2" s="20" t="s">
        <v>49</v>
      </c>
      <c r="E2" s="20" t="s">
        <v>50</v>
      </c>
      <c r="F2" s="20" t="s">
        <v>24</v>
      </c>
      <c r="G2" s="20" t="s">
        <v>26</v>
      </c>
      <c r="H2" s="20" t="s">
        <v>28</v>
      </c>
      <c r="I2" s="20" t="s">
        <v>30</v>
      </c>
      <c r="J2" s="20" t="s">
        <v>32</v>
      </c>
      <c r="K2" s="20" t="s">
        <v>51</v>
      </c>
    </row>
    <row r="3">
      <c r="A3" s="21">
        <v>103.0</v>
      </c>
      <c r="B3" s="22">
        <v>46221.0</v>
      </c>
      <c r="C3" s="21" t="s">
        <v>122</v>
      </c>
      <c r="D3" s="23" t="s">
        <v>200</v>
      </c>
      <c r="E3" s="24" t="s">
        <v>201</v>
      </c>
      <c r="F3" s="28">
        <v>10.0</v>
      </c>
      <c r="G3" s="28">
        <v>10.0</v>
      </c>
      <c r="H3" s="28">
        <v>10.0</v>
      </c>
      <c r="I3" s="28">
        <v>7.0</v>
      </c>
      <c r="J3" s="28">
        <v>7.0</v>
      </c>
      <c r="K3" s="28">
        <f>IF(COUNT(F3:J3)&lt;5,"",ROUND((F3*Quesitos!$B$3+G3*Quesitos!$B$4+H3*Quesitos!$B$5+I3*Quesitos!$B$6+J3*Quesitos!$B$7)/SUM(Quesitos!$B$3:$B$7),2))</f>
        <v>9.1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conditionalFormatting sqref="F3:K3">
    <cfRule type="expression" dxfId="4" priority="1">
      <formula>AND(ISNUMBER(F3),F3&gt;=0,F3&lt;2)</formula>
    </cfRule>
  </conditionalFormatting>
  <conditionalFormatting sqref="F3:K3">
    <cfRule type="expression" dxfId="5" priority="2">
      <formula>AND(ISNUMBER(F3),F3&gt;=2,F3&lt;5)</formula>
    </cfRule>
  </conditionalFormatting>
  <conditionalFormatting sqref="F3:K3">
    <cfRule type="expression" dxfId="6" priority="3">
      <formula>AND(ISNUMBER(F3),F3&gt;=5,F3&lt;7)</formula>
    </cfRule>
  </conditionalFormatting>
  <conditionalFormatting sqref="F3:K3">
    <cfRule type="expression" dxfId="7" priority="4">
      <formula>AND(ISNUMBER(F3),F3&gt;=7,F3&lt;9)</formula>
    </cfRule>
  </conditionalFormatting>
  <conditionalFormatting sqref="F3:K3">
    <cfRule type="expression" dxfId="8" priority="5">
      <formula>AND(ISNUMBER(F3),F3&gt;=9,F3&lt;=10)</formula>
    </cfRule>
  </conditionalFormatting>
  <dataValidations>
    <dataValidation type="decimal" allowBlank="1" showInputMessage="1" prompt="Nota - Digite uma nota de 0 a 10." sqref="F3:J3">
      <formula1>0.0</formula1>
      <formula2>10.0</formula2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0"/>
    <col customWidth="1" min="3" max="3" width="11.0"/>
    <col customWidth="1" min="4" max="4" width="38.0"/>
    <col customWidth="1" min="5" max="5" width="10.0"/>
    <col customWidth="1" min="6" max="9" width="12.0"/>
    <col customWidth="1" min="10" max="10" width="20.0"/>
    <col customWidth="1" min="11" max="11" width="12.0"/>
  </cols>
  <sheetData>
    <row r="1" ht="27.75" customHeight="1">
      <c r="A1" s="19" t="s">
        <v>18</v>
      </c>
    </row>
    <row r="2" ht="36.0" customHeight="1">
      <c r="A2" s="20" t="s">
        <v>46</v>
      </c>
      <c r="B2" s="20" t="s">
        <v>47</v>
      </c>
      <c r="C2" s="20" t="s">
        <v>48</v>
      </c>
      <c r="D2" s="20" t="s">
        <v>49</v>
      </c>
      <c r="E2" s="20" t="s">
        <v>50</v>
      </c>
      <c r="F2" s="20" t="s">
        <v>24</v>
      </c>
      <c r="G2" s="20" t="s">
        <v>26</v>
      </c>
      <c r="H2" s="20" t="s">
        <v>28</v>
      </c>
      <c r="I2" s="20" t="s">
        <v>30</v>
      </c>
      <c r="J2" s="20" t="s">
        <v>32</v>
      </c>
      <c r="K2" s="20" t="s">
        <v>51</v>
      </c>
    </row>
    <row r="3">
      <c r="A3" s="21">
        <v>104.0</v>
      </c>
      <c r="B3" s="22">
        <v>46222.0</v>
      </c>
      <c r="C3" s="21" t="s">
        <v>52</v>
      </c>
      <c r="D3" s="23" t="s">
        <v>202</v>
      </c>
      <c r="E3" s="44" t="s">
        <v>78</v>
      </c>
      <c r="F3" s="43">
        <v>6.0</v>
      </c>
      <c r="G3" s="43">
        <v>9.0</v>
      </c>
      <c r="H3" s="43">
        <v>2.0</v>
      </c>
      <c r="I3" s="43">
        <v>10.0</v>
      </c>
      <c r="J3" s="43">
        <v>10.0</v>
      </c>
      <c r="K3" s="28">
        <f>IF(COUNT(F3:J3)&lt;5,"",ROUND((F3*Quesitos!$B$3+G3*Quesitos!$B$4+H3*Quesitos!$B$5+I3*Quesitos!$B$6+J3*Quesitos!$B$7)/SUM(Quesitos!$B$3:$B$7),2))</f>
        <v>7.15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conditionalFormatting sqref="F3:K3">
    <cfRule type="expression" dxfId="4" priority="1">
      <formula>AND(ISNUMBER(F3),F3&gt;=0,F3&lt;2)</formula>
    </cfRule>
  </conditionalFormatting>
  <conditionalFormatting sqref="F3:K3">
    <cfRule type="expression" dxfId="5" priority="2">
      <formula>AND(ISNUMBER(F3),F3&gt;=2,F3&lt;5)</formula>
    </cfRule>
  </conditionalFormatting>
  <conditionalFormatting sqref="F3:K3">
    <cfRule type="expression" dxfId="6" priority="3">
      <formula>AND(ISNUMBER(F3),F3&gt;=5,F3&lt;7)</formula>
    </cfRule>
  </conditionalFormatting>
  <conditionalFormatting sqref="F3:K3">
    <cfRule type="expression" dxfId="7" priority="4">
      <formula>AND(ISNUMBER(F3),F3&gt;=7,F3&lt;9)</formula>
    </cfRule>
  </conditionalFormatting>
  <conditionalFormatting sqref="F3:K3">
    <cfRule type="expression" dxfId="8" priority="5">
      <formula>AND(ISNUMBER(F3),F3&gt;=9,F3&lt;=10)</formula>
    </cfRule>
  </conditionalFormatting>
  <dataValidations>
    <dataValidation type="decimal" allowBlank="1" showInputMessage="1" prompt="Nota - Digite uma nota de 0 a 10." sqref="F3:J3">
      <formula1>0.0</formula1>
      <formula2>10.0</formula2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